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Documents\"/>
    </mc:Choice>
  </mc:AlternateContent>
  <xr:revisionPtr revIDLastSave="0" documentId="13_ncr:1_{61418A5E-AB6A-464A-BADE-97FD54A6839F}" xr6:coauthVersionLast="47" xr6:coauthVersionMax="47" xr10:uidLastSave="{00000000-0000-0000-0000-000000000000}"/>
  <bookViews>
    <workbookView xWindow="-108" yWindow="-108" windowWidth="23256" windowHeight="12456" activeTab="3" xr2:uid="{F7C92A24-E1B1-4224-90C0-3C4E2CA58A54}"/>
  </bookViews>
  <sheets>
    <sheet name="Summary Sheet" sheetId="5" r:id="rId1"/>
    <sheet name="Income Statement" sheetId="1" r:id="rId2"/>
    <sheet name="Balance Sheet" sheetId="2" r:id="rId3"/>
    <sheet name="Cashflow Statemen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1" l="1"/>
  <c r="F31" i="1" s="1"/>
  <c r="F16" i="3"/>
  <c r="E16" i="3"/>
  <c r="D16" i="3"/>
  <c r="C16" i="3"/>
  <c r="B16" i="3"/>
  <c r="E43" i="2"/>
  <c r="D43" i="2"/>
  <c r="C43" i="2"/>
  <c r="E20" i="2"/>
  <c r="C20" i="2"/>
  <c r="C10" i="2"/>
  <c r="D20" i="2"/>
  <c r="D21" i="2"/>
  <c r="E21" i="2"/>
  <c r="E22" i="2"/>
  <c r="E17" i="3"/>
  <c r="F15" i="3"/>
  <c r="F17" i="3" s="1"/>
  <c r="E15" i="3"/>
  <c r="D15" i="3"/>
  <c r="D17" i="3" s="1"/>
  <c r="C15" i="3"/>
  <c r="C17" i="3" s="1"/>
  <c r="F12" i="3"/>
  <c r="F13" i="3" s="1"/>
  <c r="E12" i="3"/>
  <c r="E13" i="3" s="1"/>
  <c r="D12" i="3"/>
  <c r="D13" i="3" s="1"/>
  <c r="C12" i="3"/>
  <c r="C13" i="3" s="1"/>
  <c r="F8" i="3"/>
  <c r="E8" i="3"/>
  <c r="D8" i="3"/>
  <c r="C8" i="3"/>
  <c r="F7" i="3"/>
  <c r="E7" i="3"/>
  <c r="D7" i="3"/>
  <c r="C7" i="3"/>
  <c r="F6" i="3"/>
  <c r="E6" i="3"/>
  <c r="D6" i="3"/>
  <c r="C6" i="3"/>
  <c r="F4" i="3"/>
  <c r="E4" i="3"/>
  <c r="D4" i="3"/>
  <c r="C4" i="3"/>
  <c r="B15" i="3"/>
  <c r="B8" i="3"/>
  <c r="F22" i="1"/>
  <c r="E22" i="1"/>
  <c r="D22" i="1"/>
  <c r="C22" i="1"/>
  <c r="B22" i="1"/>
  <c r="C9" i="2"/>
  <c r="B18" i="2"/>
  <c r="B19" i="2" s="1"/>
  <c r="C21" i="2"/>
  <c r="B21" i="2"/>
  <c r="C6" i="2"/>
  <c r="B37" i="2"/>
  <c r="C37" i="2" s="1"/>
  <c r="B7" i="2"/>
  <c r="D60" i="1"/>
  <c r="F2" i="1"/>
  <c r="E2" i="1"/>
  <c r="B13" i="2"/>
  <c r="B17" i="3"/>
  <c r="B13" i="3"/>
  <c r="B12" i="3"/>
  <c r="B6" i="3"/>
  <c r="C24" i="2"/>
  <c r="D24" i="2" s="1"/>
  <c r="E24" i="2" s="1"/>
  <c r="C12" i="2"/>
  <c r="C11" i="2"/>
  <c r="D10" i="2"/>
  <c r="E10" i="2" s="1"/>
  <c r="F10" i="2" s="1"/>
  <c r="G10" i="2" s="1"/>
  <c r="G11" i="2" s="1"/>
  <c r="G12" i="2" s="1"/>
  <c r="D9" i="2"/>
  <c r="E9" i="2" s="1"/>
  <c r="F9" i="2" s="1"/>
  <c r="G9" i="2" s="1"/>
  <c r="C35" i="2"/>
  <c r="B7" i="3" s="1"/>
  <c r="B35" i="2"/>
  <c r="G34" i="2"/>
  <c r="F34" i="2"/>
  <c r="E34" i="2"/>
  <c r="D34" i="2"/>
  <c r="C34" i="2"/>
  <c r="G33" i="2"/>
  <c r="F33" i="2"/>
  <c r="E33" i="2"/>
  <c r="D33" i="2"/>
  <c r="C33" i="2"/>
  <c r="A36" i="2"/>
  <c r="A37" i="2"/>
  <c r="A35" i="2"/>
  <c r="B26" i="2"/>
  <c r="B12" i="2"/>
  <c r="B11" i="2"/>
  <c r="B10" i="2"/>
  <c r="F20" i="1"/>
  <c r="E20" i="1"/>
  <c r="D20" i="1"/>
  <c r="C20" i="1"/>
  <c r="B20" i="1"/>
  <c r="G63" i="1"/>
  <c r="F63" i="1"/>
  <c r="E63" i="1"/>
  <c r="D63" i="1"/>
  <c r="C63" i="1"/>
  <c r="G62" i="1"/>
  <c r="G61" i="1"/>
  <c r="G60" i="1"/>
  <c r="F60" i="1"/>
  <c r="G56" i="1"/>
  <c r="F56" i="1"/>
  <c r="E56" i="1"/>
  <c r="D56" i="1"/>
  <c r="F62" i="1"/>
  <c r="E62" i="1"/>
  <c r="D62" i="1"/>
  <c r="C62" i="1"/>
  <c r="F61" i="1"/>
  <c r="E61" i="1"/>
  <c r="D61" i="1"/>
  <c r="C61" i="1"/>
  <c r="E60" i="1"/>
  <c r="C60" i="1"/>
  <c r="C56" i="1"/>
  <c r="F50" i="1"/>
  <c r="G50" i="1" s="1"/>
  <c r="F17" i="1"/>
  <c r="E17" i="1"/>
  <c r="C17" i="1"/>
  <c r="F15" i="1"/>
  <c r="E15" i="1"/>
  <c r="E18" i="1" s="1"/>
  <c r="C15" i="1"/>
  <c r="C18" i="1" s="1"/>
  <c r="F10" i="1"/>
  <c r="E10" i="1"/>
  <c r="C10" i="1"/>
  <c r="F8" i="1"/>
  <c r="E8" i="1"/>
  <c r="C8" i="1"/>
  <c r="F5" i="1"/>
  <c r="E5" i="1"/>
  <c r="C5" i="1"/>
  <c r="F4" i="1"/>
  <c r="F16" i="1" s="1"/>
  <c r="E4" i="1"/>
  <c r="E16" i="1" s="1"/>
  <c r="D4" i="1"/>
  <c r="D16" i="1" s="1"/>
  <c r="C4" i="1"/>
  <c r="C16" i="1" s="1"/>
  <c r="B17" i="1"/>
  <c r="B16" i="1"/>
  <c r="B15" i="1"/>
  <c r="B18" i="1" s="1"/>
  <c r="B11" i="1"/>
  <c r="B10" i="1"/>
  <c r="B9" i="1"/>
  <c r="B8" i="1"/>
  <c r="B5" i="1"/>
  <c r="B6" i="1" s="1"/>
  <c r="B12" i="1" s="1"/>
  <c r="B4" i="1"/>
  <c r="A44" i="1"/>
  <c r="A43" i="1"/>
  <c r="A42" i="1"/>
  <c r="A39" i="1"/>
  <c r="A38" i="1"/>
  <c r="A37" i="1"/>
  <c r="A34" i="1"/>
  <c r="D11" i="2" l="1"/>
  <c r="D12" i="2" s="1"/>
  <c r="E11" i="2"/>
  <c r="E12" i="2" s="1"/>
  <c r="F11" i="2"/>
  <c r="F12" i="2" s="1"/>
  <c r="C17" i="2"/>
  <c r="D37" i="2"/>
  <c r="D35" i="2"/>
  <c r="F24" i="2"/>
  <c r="F18" i="1"/>
  <c r="B19" i="1"/>
  <c r="B21" i="1" s="1"/>
  <c r="B23" i="1" s="1"/>
  <c r="B13" i="1"/>
  <c r="E11" i="1"/>
  <c r="F11" i="1"/>
  <c r="D5" i="1"/>
  <c r="D8" i="1"/>
  <c r="D11" i="1" s="1"/>
  <c r="D10" i="1"/>
  <c r="D15" i="1"/>
  <c r="D17" i="1"/>
  <c r="C6" i="1"/>
  <c r="C9" i="1"/>
  <c r="C11" i="1" s="1"/>
  <c r="D6" i="1"/>
  <c r="D12" i="1" s="1"/>
  <c r="D9" i="1"/>
  <c r="E6" i="1"/>
  <c r="E12" i="1" s="1"/>
  <c r="E9" i="1"/>
  <c r="F6" i="1"/>
  <c r="F9" i="1"/>
  <c r="E37" i="2" l="1"/>
  <c r="F37" i="2" s="1"/>
  <c r="G37" i="2" s="1"/>
  <c r="D17" i="2"/>
  <c r="C9" i="3" s="1"/>
  <c r="C10" i="3" s="1"/>
  <c r="C18" i="3" s="1"/>
  <c r="F20" i="2"/>
  <c r="F43" i="2" s="1"/>
  <c r="E35" i="2"/>
  <c r="D6" i="2"/>
  <c r="G24" i="2"/>
  <c r="E13" i="1"/>
  <c r="E19" i="1"/>
  <c r="E21" i="1" s="1"/>
  <c r="C12" i="1"/>
  <c r="B24" i="1"/>
  <c r="B25" i="1" s="1"/>
  <c r="C25" i="2" s="1"/>
  <c r="D13" i="1"/>
  <c r="D19" i="1"/>
  <c r="D21" i="1" s="1"/>
  <c r="F12" i="1"/>
  <c r="D18" i="1"/>
  <c r="D23" i="1" l="1"/>
  <c r="B4" i="3"/>
  <c r="G20" i="2"/>
  <c r="G43" i="2" s="1"/>
  <c r="F21" i="2"/>
  <c r="E23" i="1"/>
  <c r="F35" i="2"/>
  <c r="E6" i="2"/>
  <c r="B27" i="1"/>
  <c r="F13" i="1"/>
  <c r="F19" i="1"/>
  <c r="F21" i="1" s="1"/>
  <c r="C13" i="1"/>
  <c r="C19" i="1"/>
  <c r="C21" i="1" s="1"/>
  <c r="C23" i="1" s="1"/>
  <c r="D24" i="1" l="1"/>
  <c r="D25" i="1" s="1"/>
  <c r="E24" i="1"/>
  <c r="E25" i="1" s="1"/>
  <c r="F23" i="1"/>
  <c r="F24" i="1" s="1"/>
  <c r="F25" i="1" s="1"/>
  <c r="G21" i="2"/>
  <c r="G35" i="2"/>
  <c r="G6" i="2" s="1"/>
  <c r="F6" i="2"/>
  <c r="C26" i="2"/>
  <c r="C24" i="1"/>
  <c r="C25" i="1" s="1"/>
  <c r="D25" i="2" l="1"/>
  <c r="E25" i="2" s="1"/>
  <c r="D27" i="1"/>
  <c r="E27" i="1"/>
  <c r="F27" i="1"/>
  <c r="C27" i="1"/>
  <c r="D26" i="2" l="1"/>
  <c r="F25" i="2"/>
  <c r="E26" i="2"/>
  <c r="G25" i="2" l="1"/>
  <c r="G26" i="2" s="1"/>
  <c r="F26" i="2"/>
  <c r="E17" i="2" l="1"/>
  <c r="D9" i="3" s="1"/>
  <c r="D10" i="3" s="1"/>
  <c r="D18" i="3" s="1"/>
  <c r="F17" i="2"/>
  <c r="E9" i="3" s="1"/>
  <c r="E10" i="3" s="1"/>
  <c r="E18" i="3" s="1"/>
  <c r="B9" i="3"/>
  <c r="G17" i="2"/>
  <c r="F9" i="3" l="1"/>
  <c r="F10" i="3" s="1"/>
  <c r="F18" i="3" s="1"/>
  <c r="B36" i="2"/>
  <c r="C36" i="2" s="1"/>
  <c r="B22" i="2"/>
  <c r="B27" i="2" s="1"/>
  <c r="B29" i="2" s="1"/>
  <c r="D36" i="2" l="1"/>
  <c r="C16" i="2"/>
  <c r="C18" i="2" l="1"/>
  <c r="B10" i="3"/>
  <c r="E36" i="2"/>
  <c r="D16" i="2"/>
  <c r="C22" i="2" l="1"/>
  <c r="C27" i="2" s="1"/>
  <c r="C19" i="2"/>
  <c r="B18" i="3"/>
  <c r="C5" i="2" s="1"/>
  <c r="C7" i="2" s="1"/>
  <c r="C13" i="2" s="1"/>
  <c r="C29" i="2" s="1"/>
  <c r="D18" i="2"/>
  <c r="E16" i="2"/>
  <c r="F36" i="2"/>
  <c r="D22" i="2" l="1"/>
  <c r="D27" i="2" s="1"/>
  <c r="D19" i="2"/>
  <c r="D5" i="2"/>
  <c r="F16" i="2"/>
  <c r="G36" i="2"/>
  <c r="G16" i="2" s="1"/>
  <c r="E18" i="2"/>
  <c r="D7" i="2" l="1"/>
  <c r="D13" i="2" s="1"/>
  <c r="D29" i="2" s="1"/>
  <c r="E5" i="2"/>
  <c r="E7" i="2" s="1"/>
  <c r="E13" i="2" s="1"/>
  <c r="E27" i="2"/>
  <c r="E19" i="2"/>
  <c r="E29" i="2"/>
  <c r="F18" i="2"/>
  <c r="G18" i="2"/>
  <c r="G22" i="2" l="1"/>
  <c r="G27" i="2" s="1"/>
  <c r="G19" i="2"/>
  <c r="F22" i="2"/>
  <c r="F27" i="2" s="1"/>
  <c r="F19" i="2"/>
  <c r="F5" i="2"/>
  <c r="G5" i="2"/>
  <c r="G7" i="2" s="1"/>
  <c r="G13" i="2" s="1"/>
  <c r="F7" i="2"/>
  <c r="F13" i="2" l="1"/>
  <c r="F29" i="2" s="1"/>
  <c r="G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</author>
  </authors>
  <commentList>
    <comment ref="D37" authorId="0" shapeId="0" xr:uid="{6E328D53-0075-48EF-9BD1-1C506DEF8575}">
      <text>
        <r>
          <rPr>
            <b/>
            <sz val="9"/>
            <color indexed="81"/>
            <rFont val="Tahoma"/>
            <family val="2"/>
          </rPr>
          <t>anton: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<sst xmlns="http://schemas.openxmlformats.org/spreadsheetml/2006/main" count="124" uniqueCount="110">
  <si>
    <t>INCOME STATEMENT</t>
  </si>
  <si>
    <t xml:space="preserve">₹ in actual figures </t>
  </si>
  <si>
    <t>Revenue</t>
  </si>
  <si>
    <t>Gross revenue</t>
  </si>
  <si>
    <t>Discounts</t>
  </si>
  <si>
    <t>Net revenue</t>
  </si>
  <si>
    <t>Cost of goods sold</t>
  </si>
  <si>
    <t>Raw materials</t>
  </si>
  <si>
    <t>Fullfilment</t>
  </si>
  <si>
    <t>Transactions fees</t>
  </si>
  <si>
    <t>Total COGS</t>
  </si>
  <si>
    <t>Gross profit</t>
  </si>
  <si>
    <t>Gross profit margin %</t>
  </si>
  <si>
    <t>Operating expenses</t>
  </si>
  <si>
    <t>Labor</t>
  </si>
  <si>
    <t>Marketing</t>
  </si>
  <si>
    <t>SGA &amp; other</t>
  </si>
  <si>
    <t>Total op. exp</t>
  </si>
  <si>
    <t>EBITDA</t>
  </si>
  <si>
    <t>depreciation &amp; Amortization</t>
  </si>
  <si>
    <t>EBIT</t>
  </si>
  <si>
    <t>Interest expense</t>
  </si>
  <si>
    <t>EBT</t>
  </si>
  <si>
    <t>Taxes</t>
  </si>
  <si>
    <t>Net income</t>
  </si>
  <si>
    <t>Assumptions</t>
  </si>
  <si>
    <t>cups sold</t>
  </si>
  <si>
    <t>Average price per cup</t>
  </si>
  <si>
    <t>Corporate tax rate</t>
  </si>
  <si>
    <t xml:space="preserve"> </t>
  </si>
  <si>
    <t>Net income as % of revenue</t>
  </si>
  <si>
    <t>Fixed assets</t>
  </si>
  <si>
    <t>₹ in actual figures</t>
  </si>
  <si>
    <t>asset life yrs</t>
  </si>
  <si>
    <t>cap.exp</t>
  </si>
  <si>
    <t>Lemon crusher</t>
  </si>
  <si>
    <t>Ice machine</t>
  </si>
  <si>
    <t>Refigerator</t>
  </si>
  <si>
    <t>Total D&amp;A</t>
  </si>
  <si>
    <t>Total Cap.exp</t>
  </si>
  <si>
    <t>Depreciation</t>
  </si>
  <si>
    <t>Existing  equipment</t>
  </si>
  <si>
    <t>Balance Sheet</t>
  </si>
  <si>
    <t>Historical</t>
  </si>
  <si>
    <t>Current assets</t>
  </si>
  <si>
    <t>Cash</t>
  </si>
  <si>
    <t>Accounts receivable</t>
  </si>
  <si>
    <t>Non currrent assets</t>
  </si>
  <si>
    <t>Accumulated depreciation</t>
  </si>
  <si>
    <t>Net fixed assets</t>
  </si>
  <si>
    <t>Total non current assets</t>
  </si>
  <si>
    <t>Total assets</t>
  </si>
  <si>
    <t>Current liabilities</t>
  </si>
  <si>
    <t>Accounts payable</t>
  </si>
  <si>
    <t>Deferred revenue</t>
  </si>
  <si>
    <t>Total current liabilities</t>
  </si>
  <si>
    <t>Non current liabilities</t>
  </si>
  <si>
    <t>Total non current liabilities</t>
  </si>
  <si>
    <t>Total liabilities</t>
  </si>
  <si>
    <t>Equity</t>
  </si>
  <si>
    <t>Common stock</t>
  </si>
  <si>
    <t>Total current assets</t>
  </si>
  <si>
    <t xml:space="preserve"> Debt</t>
  </si>
  <si>
    <t>Retained earnings</t>
  </si>
  <si>
    <t>Total equity</t>
  </si>
  <si>
    <t>Total libalities &amp; equity</t>
  </si>
  <si>
    <t>COGS</t>
  </si>
  <si>
    <t>Debt</t>
  </si>
  <si>
    <t>Net borrowing</t>
  </si>
  <si>
    <t>Interest rate</t>
  </si>
  <si>
    <t>Interest payment</t>
  </si>
  <si>
    <t>Debt repayment</t>
  </si>
  <si>
    <t>Balance check</t>
  </si>
  <si>
    <t>Cashflow Statement</t>
  </si>
  <si>
    <t>Operating activities</t>
  </si>
  <si>
    <t xml:space="preserve"> Change in Acc.Rec</t>
  </si>
  <si>
    <t>Change in Acc.Pay</t>
  </si>
  <si>
    <t>Change in Def.Rev</t>
  </si>
  <si>
    <t>Operating cash flow</t>
  </si>
  <si>
    <t>Investing Activities</t>
  </si>
  <si>
    <t>Cap.Exp</t>
  </si>
  <si>
    <t>Investing cash flow</t>
  </si>
  <si>
    <t>Financing activities</t>
  </si>
  <si>
    <t>Net borrowings</t>
  </si>
  <si>
    <t>Financing cash flow</t>
  </si>
  <si>
    <t>Net cash flow</t>
  </si>
  <si>
    <t>Project Title</t>
  </si>
  <si>
    <t>Objective</t>
  </si>
  <si>
    <t>Key Assumptions</t>
  </si>
  <si>
    <t>Structure</t>
  </si>
  <si>
    <t>All figures are in ₹ (INR). Model built for learning purposes.</t>
  </si>
  <si>
    <t>3-Statement Financial Model</t>
  </si>
  <si>
    <t>Created by</t>
  </si>
  <si>
    <t>Antony Rajkumar J</t>
  </si>
  <si>
    <t xml:space="preserve">Date </t>
  </si>
  <si>
    <t>Model Review</t>
  </si>
  <si>
    <r>
      <t xml:space="preserve">The model projects 5 years </t>
    </r>
    <r>
      <rPr>
        <b/>
        <sz val="11"/>
        <color theme="1"/>
        <rFont val="Calibri"/>
        <family val="2"/>
        <scheme val="minor"/>
      </rPr>
      <t xml:space="preserve">(2025–2029) </t>
    </r>
    <r>
      <rPr>
        <sz val="11"/>
        <color theme="1"/>
        <rFont val="Calibri"/>
        <family val="2"/>
        <scheme val="minor"/>
      </rPr>
      <t>of financial performance based on assumptions like sales growth, cost ratios, and financing activities.</t>
    </r>
  </si>
  <si>
    <t>Corporate tax rate: 25%</t>
  </si>
  <si>
    <t>New loan: ₹10,000 in FY2027</t>
  </si>
  <si>
    <t>Average Revenue growth: 25% per year</t>
  </si>
  <si>
    <t>Income Statement</t>
  </si>
  <si>
    <t xml:space="preserve"> Balance Sheet</t>
  </si>
  <si>
    <t xml:space="preserve"> Cash Flow Statement</t>
  </si>
  <si>
    <t>Assumption Table</t>
  </si>
  <si>
    <t>Formula links</t>
  </si>
  <si>
    <t xml:space="preserve">Note </t>
  </si>
  <si>
    <t>Net profit -- Retained earnings (Equity)</t>
  </si>
  <si>
    <t>CapEx &amp; Depreciation -- Fixed Assets</t>
  </si>
  <si>
    <t>Loan assumptions -- Debt &amp; Cash Flow</t>
  </si>
  <si>
    <r>
      <t xml:space="preserve">To build an integrated 3-statement financial model </t>
    </r>
    <r>
      <rPr>
        <b/>
        <sz val="11"/>
        <color theme="1"/>
        <rFont val="Calibri"/>
        <family val="2"/>
        <scheme val="minor"/>
      </rPr>
      <t xml:space="preserve">(Income Statement, Balance Sheet, Cash Flow) </t>
    </r>
    <r>
      <rPr>
        <sz val="11"/>
        <color theme="1"/>
        <rFont val="Calibri"/>
        <family val="2"/>
        <scheme val="minor"/>
      </rPr>
      <t xml:space="preserve">for a Juice company using </t>
    </r>
    <r>
      <rPr>
        <b/>
        <sz val="11"/>
        <color theme="1"/>
        <rFont val="Calibri"/>
        <family val="2"/>
        <scheme val="minor"/>
      </rPr>
      <t>own</t>
    </r>
    <r>
      <rPr>
        <sz val="11"/>
        <color theme="1"/>
        <rFont val="Calibri"/>
        <family val="2"/>
        <scheme val="minor"/>
      </rPr>
      <t xml:space="preserve"> assumptions.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</si>
</sst>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₹&quot;\ #,##0;[Red]&quot;₹&quot;\ \-#,##0"/>
    <numFmt numFmtId="8" formatCode="&quot;₹&quot;\ #,##0.00;[Red]&quot;₹&quot;\ \-#,##0.00"/>
    <numFmt numFmtId="164" formatCode="yyyy\ \E"/>
    <numFmt numFmtId="165" formatCode="mmm/yy\A"/>
    <numFmt numFmtId="166" formatCode="#,##0_ ;[Red]\-#,##0\ "/>
    <numFmt numFmtId="167" formatCode="mmm/yy\E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  <xf numFmtId="0" fontId="0" fillId="0" borderId="1" xfId="0" applyBorder="1" applyAlignment="1">
      <alignment horizontal="left" indent="1"/>
    </xf>
    <xf numFmtId="6" fontId="0" fillId="0" borderId="1" xfId="0" applyNumberFormat="1" applyBorder="1"/>
    <xf numFmtId="10" fontId="0" fillId="0" borderId="1" xfId="0" applyNumberFormat="1" applyBorder="1"/>
    <xf numFmtId="1" fontId="0" fillId="0" borderId="1" xfId="0" applyNumberFormat="1" applyBorder="1"/>
    <xf numFmtId="165" fontId="0" fillId="0" borderId="1" xfId="0" applyNumberFormat="1" applyBorder="1"/>
    <xf numFmtId="1" fontId="1" fillId="0" borderId="1" xfId="0" applyNumberFormat="1" applyFont="1" applyBorder="1"/>
    <xf numFmtId="166" fontId="0" fillId="0" borderId="1" xfId="0" applyNumberFormat="1" applyBorder="1"/>
    <xf numFmtId="9" fontId="0" fillId="0" borderId="1" xfId="0" applyNumberFormat="1" applyBorder="1"/>
    <xf numFmtId="8" fontId="0" fillId="0" borderId="1" xfId="0" applyNumberFormat="1" applyBorder="1"/>
    <xf numFmtId="167" fontId="0" fillId="0" borderId="1" xfId="0" applyNumberFormat="1" applyBorder="1"/>
    <xf numFmtId="3" fontId="0" fillId="0" borderId="1" xfId="0" applyNumberFormat="1" applyBorder="1"/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A7AE9-2D36-4911-BF85-14CD657EEAB4}">
  <dimension ref="A2:B25"/>
  <sheetViews>
    <sheetView workbookViewId="0">
      <selection activeCell="B15" sqref="B15"/>
    </sheetView>
  </sheetViews>
  <sheetFormatPr defaultRowHeight="14.4" x14ac:dyDescent="0.3"/>
  <cols>
    <col min="1" max="1" width="14.6640625" bestFit="1" customWidth="1"/>
    <col min="2" max="2" width="119.21875" bestFit="1" customWidth="1"/>
  </cols>
  <sheetData>
    <row r="2" spans="1:2" x14ac:dyDescent="0.3">
      <c r="A2" s="1" t="s">
        <v>86</v>
      </c>
      <c r="B2" s="1" t="s">
        <v>91</v>
      </c>
    </row>
    <row r="3" spans="1:2" x14ac:dyDescent="0.3">
      <c r="A3" s="1"/>
    </row>
    <row r="4" spans="1:2" x14ac:dyDescent="0.3">
      <c r="A4" s="1" t="s">
        <v>92</v>
      </c>
      <c r="B4" t="s">
        <v>93</v>
      </c>
    </row>
    <row r="5" spans="1:2" x14ac:dyDescent="0.3">
      <c r="A5" s="1" t="s">
        <v>94</v>
      </c>
      <c r="B5" s="18">
        <v>45973</v>
      </c>
    </row>
    <row r="6" spans="1:2" x14ac:dyDescent="0.3">
      <c r="A6" s="1"/>
    </row>
    <row r="7" spans="1:2" x14ac:dyDescent="0.3">
      <c r="A7" s="1" t="s">
        <v>87</v>
      </c>
      <c r="B7" t="s">
        <v>109</v>
      </c>
    </row>
    <row r="8" spans="1:2" x14ac:dyDescent="0.3">
      <c r="A8" s="1"/>
    </row>
    <row r="9" spans="1:2" x14ac:dyDescent="0.3">
      <c r="A9" s="1" t="s">
        <v>95</v>
      </c>
      <c r="B9" t="s">
        <v>96</v>
      </c>
    </row>
    <row r="10" spans="1:2" x14ac:dyDescent="0.3">
      <c r="A10" s="1"/>
    </row>
    <row r="11" spans="1:2" x14ac:dyDescent="0.3">
      <c r="A11" s="1" t="s">
        <v>88</v>
      </c>
      <c r="B11" t="s">
        <v>99</v>
      </c>
    </row>
    <row r="12" spans="1:2" x14ac:dyDescent="0.3">
      <c r="A12" s="1"/>
      <c r="B12" t="s">
        <v>97</v>
      </c>
    </row>
    <row r="13" spans="1:2" x14ac:dyDescent="0.3">
      <c r="A13" s="1"/>
      <c r="B13" t="s">
        <v>98</v>
      </c>
    </row>
    <row r="14" spans="1:2" x14ac:dyDescent="0.3">
      <c r="A14" s="1"/>
    </row>
    <row r="15" spans="1:2" x14ac:dyDescent="0.3">
      <c r="A15" s="1" t="s">
        <v>89</v>
      </c>
      <c r="B15" t="s">
        <v>100</v>
      </c>
    </row>
    <row r="16" spans="1:2" x14ac:dyDescent="0.3">
      <c r="A16" s="1"/>
      <c r="B16" t="s">
        <v>101</v>
      </c>
    </row>
    <row r="17" spans="1:2" x14ac:dyDescent="0.3">
      <c r="A17" s="1"/>
      <c r="B17" t="s">
        <v>102</v>
      </c>
    </row>
    <row r="18" spans="1:2" x14ac:dyDescent="0.3">
      <c r="A18" s="1"/>
      <c r="B18" t="s">
        <v>103</v>
      </c>
    </row>
    <row r="19" spans="1:2" x14ac:dyDescent="0.3">
      <c r="A19" s="1"/>
    </row>
    <row r="20" spans="1:2" x14ac:dyDescent="0.3">
      <c r="A20" s="1" t="s">
        <v>104</v>
      </c>
      <c r="B20" t="s">
        <v>106</v>
      </c>
    </row>
    <row r="21" spans="1:2" x14ac:dyDescent="0.3">
      <c r="A21" s="1"/>
      <c r="B21" t="s">
        <v>107</v>
      </c>
    </row>
    <row r="22" spans="1:2" x14ac:dyDescent="0.3">
      <c r="A22" s="1"/>
      <c r="B22" t="s">
        <v>108</v>
      </c>
    </row>
    <row r="23" spans="1:2" x14ac:dyDescent="0.3">
      <c r="A23" s="1"/>
    </row>
    <row r="24" spans="1:2" x14ac:dyDescent="0.3">
      <c r="A24" s="1" t="s">
        <v>105</v>
      </c>
      <c r="B24" s="17" t="s">
        <v>90</v>
      </c>
    </row>
    <row r="25" spans="1:2" x14ac:dyDescent="0.3">
      <c r="B25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8B3D0-7B1F-4BFE-8B03-06EB7C6182F0}">
  <dimension ref="A1:G63"/>
  <sheetViews>
    <sheetView workbookViewId="0">
      <selection activeCell="F8" sqref="F8"/>
    </sheetView>
  </sheetViews>
  <sheetFormatPr defaultRowHeight="14.4" x14ac:dyDescent="0.3"/>
  <cols>
    <col min="1" max="1" width="29.77734375" bestFit="1" customWidth="1"/>
    <col min="2" max="2" width="11" bestFit="1" customWidth="1"/>
    <col min="3" max="6" width="10.33203125" bestFit="1" customWidth="1"/>
    <col min="7" max="7" width="9.44140625" bestFit="1" customWidth="1"/>
  </cols>
  <sheetData>
    <row r="1" spans="1:6" x14ac:dyDescent="0.3">
      <c r="A1" t="s">
        <v>0</v>
      </c>
    </row>
    <row r="2" spans="1:6" x14ac:dyDescent="0.3">
      <c r="A2" s="3" t="s">
        <v>1</v>
      </c>
      <c r="B2" s="4">
        <v>45658</v>
      </c>
      <c r="C2" s="4">
        <v>46023</v>
      </c>
      <c r="D2" s="4">
        <v>46388</v>
      </c>
      <c r="E2" s="4">
        <f>EDATE(D2,12)</f>
        <v>46753</v>
      </c>
      <c r="F2" s="4">
        <f>EDATE(E2,12)</f>
        <v>47119</v>
      </c>
    </row>
    <row r="3" spans="1:6" x14ac:dyDescent="0.3">
      <c r="A3" s="5" t="s">
        <v>2</v>
      </c>
      <c r="B3" s="3"/>
      <c r="C3" s="3"/>
      <c r="D3" s="3"/>
      <c r="E3" s="3"/>
      <c r="F3" s="3"/>
    </row>
    <row r="4" spans="1:6" x14ac:dyDescent="0.3">
      <c r="A4" s="6" t="s">
        <v>3</v>
      </c>
      <c r="B4" s="7">
        <f>B32*B33</f>
        <v>700000</v>
      </c>
      <c r="C4" s="7">
        <f t="shared" ref="C4:F4" si="0">C32*C33</f>
        <v>910000</v>
      </c>
      <c r="D4" s="7">
        <f t="shared" si="0"/>
        <v>1120000</v>
      </c>
      <c r="E4" s="7">
        <f t="shared" si="0"/>
        <v>1400000</v>
      </c>
      <c r="F4" s="7">
        <f t="shared" si="0"/>
        <v>1750000</v>
      </c>
    </row>
    <row r="5" spans="1:6" x14ac:dyDescent="0.3">
      <c r="A5" s="6" t="s">
        <v>4</v>
      </c>
      <c r="B5" s="3">
        <f>B4*-B34</f>
        <v>-35000</v>
      </c>
      <c r="C5" s="3">
        <f t="shared" ref="C5:F5" si="1">C4*-C34</f>
        <v>-45500</v>
      </c>
      <c r="D5" s="3">
        <f t="shared" si="1"/>
        <v>-56000</v>
      </c>
      <c r="E5" s="3">
        <f t="shared" si="1"/>
        <v>-70000</v>
      </c>
      <c r="F5" s="3">
        <f t="shared" si="1"/>
        <v>-87500</v>
      </c>
    </row>
    <row r="6" spans="1:6" x14ac:dyDescent="0.3">
      <c r="A6" s="5" t="s">
        <v>5</v>
      </c>
      <c r="B6" s="7">
        <f>SUM(B4:B5)</f>
        <v>665000</v>
      </c>
      <c r="C6" s="7">
        <f t="shared" ref="C6:F6" si="2">SUM(C4:C5)</f>
        <v>864500</v>
      </c>
      <c r="D6" s="7">
        <f t="shared" si="2"/>
        <v>1064000</v>
      </c>
      <c r="E6" s="7">
        <f t="shared" si="2"/>
        <v>1330000</v>
      </c>
      <c r="F6" s="7">
        <f t="shared" si="2"/>
        <v>1662500</v>
      </c>
    </row>
    <row r="7" spans="1:6" x14ac:dyDescent="0.3">
      <c r="A7" s="3" t="s">
        <v>6</v>
      </c>
      <c r="B7" s="3"/>
      <c r="C7" s="3"/>
      <c r="D7" s="3"/>
      <c r="E7" s="3"/>
      <c r="F7" s="3"/>
    </row>
    <row r="8" spans="1:6" x14ac:dyDescent="0.3">
      <c r="A8" s="6" t="s">
        <v>7</v>
      </c>
      <c r="B8" s="7">
        <f>-B$4*B37</f>
        <v>-210000</v>
      </c>
      <c r="C8" s="7">
        <f t="shared" ref="C8:F8" si="3">-C$4*C37</f>
        <v>-273000</v>
      </c>
      <c r="D8" s="7">
        <f t="shared" si="3"/>
        <v>-336000</v>
      </c>
      <c r="E8" s="7">
        <f t="shared" si="3"/>
        <v>-420000</v>
      </c>
      <c r="F8" s="7">
        <f t="shared" si="3"/>
        <v>-525000</v>
      </c>
    </row>
    <row r="9" spans="1:6" x14ac:dyDescent="0.3">
      <c r="A9" s="6" t="s">
        <v>8</v>
      </c>
      <c r="B9" s="7">
        <f t="shared" ref="B9:F10" si="4">-B$4*B38</f>
        <v>-56000</v>
      </c>
      <c r="C9" s="7">
        <f t="shared" si="4"/>
        <v>-72800</v>
      </c>
      <c r="D9" s="7">
        <f t="shared" si="4"/>
        <v>-89600</v>
      </c>
      <c r="E9" s="7">
        <f t="shared" si="4"/>
        <v>-112000</v>
      </c>
      <c r="F9" s="7">
        <f t="shared" si="4"/>
        <v>-140000</v>
      </c>
    </row>
    <row r="10" spans="1:6" x14ac:dyDescent="0.3">
      <c r="A10" s="6" t="s">
        <v>9</v>
      </c>
      <c r="B10" s="7">
        <f t="shared" si="4"/>
        <v>-21000</v>
      </c>
      <c r="C10" s="7">
        <f t="shared" si="4"/>
        <v>-27300</v>
      </c>
      <c r="D10" s="7">
        <f t="shared" si="4"/>
        <v>-33600</v>
      </c>
      <c r="E10" s="7">
        <f t="shared" si="4"/>
        <v>-42000</v>
      </c>
      <c r="F10" s="7">
        <f t="shared" si="4"/>
        <v>-52500</v>
      </c>
    </row>
    <row r="11" spans="1:6" x14ac:dyDescent="0.3">
      <c r="A11" s="6" t="s">
        <v>10</v>
      </c>
      <c r="B11" s="7">
        <f>SUM(B8:B10)</f>
        <v>-287000</v>
      </c>
      <c r="C11" s="7">
        <f t="shared" ref="C11:F11" si="5">SUM(C8:C10)</f>
        <v>-373100</v>
      </c>
      <c r="D11" s="7">
        <f t="shared" si="5"/>
        <v>-459200</v>
      </c>
      <c r="E11" s="7">
        <f t="shared" si="5"/>
        <v>-574000</v>
      </c>
      <c r="F11" s="7">
        <f t="shared" si="5"/>
        <v>-717500</v>
      </c>
    </row>
    <row r="12" spans="1:6" x14ac:dyDescent="0.3">
      <c r="A12" s="5" t="s">
        <v>11</v>
      </c>
      <c r="B12" s="7">
        <f>B6+B11</f>
        <v>378000</v>
      </c>
      <c r="C12" s="7">
        <f t="shared" ref="C12:F12" si="6">C6+C11</f>
        <v>491400</v>
      </c>
      <c r="D12" s="7">
        <f t="shared" si="6"/>
        <v>604800</v>
      </c>
      <c r="E12" s="7">
        <f t="shared" si="6"/>
        <v>756000</v>
      </c>
      <c r="F12" s="7">
        <f t="shared" si="6"/>
        <v>945000</v>
      </c>
    </row>
    <row r="13" spans="1:6" x14ac:dyDescent="0.3">
      <c r="A13" s="3" t="s">
        <v>12</v>
      </c>
      <c r="B13" s="8">
        <f>B12/B6</f>
        <v>0.56842105263157894</v>
      </c>
      <c r="C13" s="8">
        <f t="shared" ref="C13:F13" si="7">C12/C6</f>
        <v>0.56842105263157894</v>
      </c>
      <c r="D13" s="8">
        <f t="shared" si="7"/>
        <v>0.56842105263157894</v>
      </c>
      <c r="E13" s="8">
        <f t="shared" si="7"/>
        <v>0.56842105263157894</v>
      </c>
      <c r="F13" s="8">
        <f t="shared" si="7"/>
        <v>0.56842105263157894</v>
      </c>
    </row>
    <row r="14" spans="1:6" x14ac:dyDescent="0.3">
      <c r="A14" s="3" t="s">
        <v>13</v>
      </c>
      <c r="B14" s="3"/>
      <c r="C14" s="3"/>
      <c r="D14" s="3"/>
      <c r="E14" s="3"/>
      <c r="F14" s="3"/>
    </row>
    <row r="15" spans="1:6" x14ac:dyDescent="0.3">
      <c r="A15" s="6" t="s">
        <v>14</v>
      </c>
      <c r="B15" s="3">
        <f>-B$4*B42</f>
        <v>-140000</v>
      </c>
      <c r="C15" s="3">
        <f t="shared" ref="C15:F15" si="8">-C$4*C42</f>
        <v>-182000</v>
      </c>
      <c r="D15" s="3">
        <f t="shared" si="8"/>
        <v>-224000</v>
      </c>
      <c r="E15" s="3">
        <f t="shared" si="8"/>
        <v>-280000</v>
      </c>
      <c r="F15" s="3">
        <f t="shared" si="8"/>
        <v>-350000</v>
      </c>
    </row>
    <row r="16" spans="1:6" x14ac:dyDescent="0.3">
      <c r="A16" s="6" t="s">
        <v>15</v>
      </c>
      <c r="B16" s="3">
        <f t="shared" ref="B16:F17" si="9">-B$4*B43</f>
        <v>-35000</v>
      </c>
      <c r="C16" s="3">
        <f t="shared" si="9"/>
        <v>-45500</v>
      </c>
      <c r="D16" s="3">
        <f t="shared" si="9"/>
        <v>-56000</v>
      </c>
      <c r="E16" s="3">
        <f t="shared" si="9"/>
        <v>-70000</v>
      </c>
      <c r="F16" s="3">
        <f t="shared" si="9"/>
        <v>-87500</v>
      </c>
    </row>
    <row r="17" spans="1:6" x14ac:dyDescent="0.3">
      <c r="A17" s="6" t="s">
        <v>16</v>
      </c>
      <c r="B17" s="3">
        <f t="shared" si="9"/>
        <v>-35000</v>
      </c>
      <c r="C17" s="3">
        <f t="shared" si="9"/>
        <v>-45500</v>
      </c>
      <c r="D17" s="3">
        <f t="shared" si="9"/>
        <v>-56000</v>
      </c>
      <c r="E17" s="3">
        <f t="shared" si="9"/>
        <v>-70000</v>
      </c>
      <c r="F17" s="3">
        <f t="shared" si="9"/>
        <v>-87500</v>
      </c>
    </row>
    <row r="18" spans="1:6" x14ac:dyDescent="0.3">
      <c r="A18" s="3" t="s">
        <v>17</v>
      </c>
      <c r="B18" s="3">
        <f>SUM(B15:B17)</f>
        <v>-210000</v>
      </c>
      <c r="C18" s="3">
        <f t="shared" ref="C18:F18" si="10">SUM(C15:C17)</f>
        <v>-273000</v>
      </c>
      <c r="D18" s="3">
        <f t="shared" si="10"/>
        <v>-336000</v>
      </c>
      <c r="E18" s="3">
        <f t="shared" si="10"/>
        <v>-420000</v>
      </c>
      <c r="F18" s="3">
        <f t="shared" si="10"/>
        <v>-525000</v>
      </c>
    </row>
    <row r="19" spans="1:6" x14ac:dyDescent="0.3">
      <c r="A19" s="5" t="s">
        <v>18</v>
      </c>
      <c r="B19" s="7">
        <f>B12+B18</f>
        <v>168000</v>
      </c>
      <c r="C19" s="7">
        <f t="shared" ref="C19:F19" si="11">C12+C18</f>
        <v>218400</v>
      </c>
      <c r="D19" s="7">
        <f t="shared" si="11"/>
        <v>268800</v>
      </c>
      <c r="E19" s="7">
        <f t="shared" si="11"/>
        <v>336000</v>
      </c>
      <c r="F19" s="7">
        <f t="shared" si="11"/>
        <v>420000</v>
      </c>
    </row>
    <row r="20" spans="1:6" x14ac:dyDescent="0.3">
      <c r="A20" s="3" t="s">
        <v>19</v>
      </c>
      <c r="B20" s="7">
        <f>-C63</f>
        <v>-8714.2857142857138</v>
      </c>
      <c r="C20" s="7">
        <f t="shared" ref="C20:F20" si="12">-D63</f>
        <v>-8714.2857142857138</v>
      </c>
      <c r="D20" s="7">
        <f t="shared" si="12"/>
        <v>-8714.2857142857138</v>
      </c>
      <c r="E20" s="7">
        <f t="shared" si="12"/>
        <v>-8714.2857142857138</v>
      </c>
      <c r="F20" s="7">
        <f t="shared" si="12"/>
        <v>-6714.2857142857138</v>
      </c>
    </row>
    <row r="21" spans="1:6" x14ac:dyDescent="0.3">
      <c r="A21" s="5" t="s">
        <v>20</v>
      </c>
      <c r="B21" s="7">
        <f>SUM(B19:B20)</f>
        <v>159285.71428571429</v>
      </c>
      <c r="C21" s="7">
        <f t="shared" ref="C21:F21" si="13">SUM(C19:C20)</f>
        <v>209685.71428571429</v>
      </c>
      <c r="D21" s="7">
        <f t="shared" si="13"/>
        <v>260085.71428571429</v>
      </c>
      <c r="E21" s="7">
        <f t="shared" si="13"/>
        <v>327285.71428571426</v>
      </c>
      <c r="F21" s="7">
        <f t="shared" si="13"/>
        <v>413285.71428571426</v>
      </c>
    </row>
    <row r="22" spans="1:6" x14ac:dyDescent="0.3">
      <c r="A22" s="3" t="s">
        <v>21</v>
      </c>
      <c r="B22" s="9">
        <f>-'Balance Sheet'!C43</f>
        <v>-6265.0000000000009</v>
      </c>
      <c r="C22" s="9">
        <f>-'Balance Sheet'!D43</f>
        <v>-6230.0000000000009</v>
      </c>
      <c r="D22" s="9">
        <f>-'Balance Sheet'!E43</f>
        <v>-6877.5000000000009</v>
      </c>
      <c r="E22" s="9">
        <f>-'Balance Sheet'!F43</f>
        <v>-6825.0000000000009</v>
      </c>
      <c r="F22" s="9">
        <f>-'Balance Sheet'!G43</f>
        <v>-6772.5000000000009</v>
      </c>
    </row>
    <row r="23" spans="1:6" x14ac:dyDescent="0.3">
      <c r="A23" s="5" t="s">
        <v>22</v>
      </c>
      <c r="B23" s="7">
        <f>SUM(B21:B22)</f>
        <v>153020.71428571429</v>
      </c>
      <c r="C23" s="7">
        <f t="shared" ref="C23:F23" si="14">SUM(C21:C22)</f>
        <v>203455.71428571429</v>
      </c>
      <c r="D23" s="7">
        <f t="shared" si="14"/>
        <v>253208.21428571429</v>
      </c>
      <c r="E23" s="7">
        <f t="shared" si="14"/>
        <v>320460.71428571426</v>
      </c>
      <c r="F23" s="7">
        <f t="shared" si="14"/>
        <v>406513.21428571426</v>
      </c>
    </row>
    <row r="24" spans="1:6" x14ac:dyDescent="0.3">
      <c r="A24" s="3" t="s">
        <v>23</v>
      </c>
      <c r="B24" s="3">
        <f>-B23*B46</f>
        <v>-38255.178571428572</v>
      </c>
      <c r="C24" s="3">
        <f t="shared" ref="C24:F24" si="15">-C23*C46</f>
        <v>-50863.928571428572</v>
      </c>
      <c r="D24" s="3">
        <f t="shared" si="15"/>
        <v>-63302.053571428572</v>
      </c>
      <c r="E24" s="3">
        <f t="shared" si="15"/>
        <v>-80115.178571428565</v>
      </c>
      <c r="F24" s="3">
        <f t="shared" si="15"/>
        <v>-101628.30357142857</v>
      </c>
    </row>
    <row r="25" spans="1:6" x14ac:dyDescent="0.3">
      <c r="A25" s="5" t="s">
        <v>24</v>
      </c>
      <c r="B25" s="7">
        <f>B23+B24</f>
        <v>114765.53571428571</v>
      </c>
      <c r="C25" s="7">
        <f t="shared" ref="C25:F25" si="16">C23+C24</f>
        <v>152591.78571428571</v>
      </c>
      <c r="D25" s="7">
        <f t="shared" si="16"/>
        <v>189906.16071428571</v>
      </c>
      <c r="E25" s="7">
        <f t="shared" si="16"/>
        <v>240345.53571428568</v>
      </c>
      <c r="F25" s="7">
        <f t="shared" si="16"/>
        <v>304884.91071428568</v>
      </c>
    </row>
    <row r="26" spans="1:6" x14ac:dyDescent="0.3">
      <c r="A26" s="3"/>
      <c r="B26" s="3"/>
      <c r="C26" s="3"/>
      <c r="D26" s="3"/>
      <c r="E26" s="3"/>
      <c r="F26" s="3"/>
    </row>
    <row r="27" spans="1:6" x14ac:dyDescent="0.3">
      <c r="A27" s="5" t="s">
        <v>30</v>
      </c>
      <c r="B27" s="8">
        <f>B25/B6</f>
        <v>0.17257975295381309</v>
      </c>
      <c r="C27" s="8">
        <f t="shared" ref="C27:F27" si="17">C25/C6</f>
        <v>0.17650871684706271</v>
      </c>
      <c r="D27" s="8">
        <f t="shared" si="17"/>
        <v>0.17848323375402791</v>
      </c>
      <c r="E27" s="8">
        <f t="shared" si="17"/>
        <v>0.18071092910848546</v>
      </c>
      <c r="F27" s="8">
        <f t="shared" si="17"/>
        <v>0.18338941997851771</v>
      </c>
    </row>
    <row r="30" spans="1:6" x14ac:dyDescent="0.3">
      <c r="A30" s="1" t="s">
        <v>25</v>
      </c>
    </row>
    <row r="31" spans="1:6" x14ac:dyDescent="0.3">
      <c r="A31" s="3" t="s">
        <v>2</v>
      </c>
      <c r="B31" s="4">
        <v>45658</v>
      </c>
      <c r="C31" s="4">
        <v>46023</v>
      </c>
      <c r="D31" s="4">
        <v>46388</v>
      </c>
      <c r="E31" s="4">
        <f>EDATE(D31,12)</f>
        <v>46753</v>
      </c>
      <c r="F31" s="4">
        <f>EDATE(E31,12)</f>
        <v>47119</v>
      </c>
    </row>
    <row r="32" spans="1:6" x14ac:dyDescent="0.3">
      <c r="A32" s="3" t="s">
        <v>26</v>
      </c>
      <c r="B32" s="3">
        <v>10000</v>
      </c>
      <c r="C32" s="3">
        <v>13000</v>
      </c>
      <c r="D32" s="3">
        <v>16000</v>
      </c>
      <c r="E32" s="3">
        <v>20000</v>
      </c>
      <c r="F32" s="3">
        <v>25000</v>
      </c>
    </row>
    <row r="33" spans="1:6" x14ac:dyDescent="0.3">
      <c r="A33" s="3" t="s">
        <v>27</v>
      </c>
      <c r="B33" s="7">
        <v>70</v>
      </c>
      <c r="C33" s="7">
        <v>70</v>
      </c>
      <c r="D33" s="7">
        <v>70</v>
      </c>
      <c r="E33" s="7">
        <v>70</v>
      </c>
      <c r="F33" s="7">
        <v>70</v>
      </c>
    </row>
    <row r="34" spans="1:6" x14ac:dyDescent="0.3">
      <c r="A34" s="3" t="str">
        <f>A5&amp;" as a % of rev"</f>
        <v>Discounts as a % of rev</v>
      </c>
      <c r="B34" s="13">
        <v>0.05</v>
      </c>
      <c r="C34" s="13">
        <v>0.05</v>
      </c>
      <c r="D34" s="13">
        <v>0.05</v>
      </c>
      <c r="E34" s="13">
        <v>0.05</v>
      </c>
      <c r="F34" s="13">
        <v>0.05</v>
      </c>
    </row>
    <row r="35" spans="1:6" x14ac:dyDescent="0.3">
      <c r="A35" s="3"/>
      <c r="B35" s="3"/>
      <c r="C35" s="3"/>
      <c r="D35" s="3"/>
      <c r="E35" s="3"/>
      <c r="F35" s="3"/>
    </row>
    <row r="36" spans="1:6" x14ac:dyDescent="0.3">
      <c r="A36" s="3" t="s">
        <v>6</v>
      </c>
      <c r="B36" s="3"/>
      <c r="C36" s="3"/>
      <c r="D36" s="3"/>
      <c r="E36" s="3"/>
      <c r="F36" s="3"/>
    </row>
    <row r="37" spans="1:6" x14ac:dyDescent="0.3">
      <c r="A37" s="3" t="str">
        <f t="shared" ref="A37:A39" si="18">A8&amp;" as a % of rev"</f>
        <v>Raw materials as a % of rev</v>
      </c>
      <c r="B37" s="13">
        <v>0.3</v>
      </c>
      <c r="C37" s="13">
        <v>0.3</v>
      </c>
      <c r="D37" s="13">
        <v>0.3</v>
      </c>
      <c r="E37" s="13">
        <v>0.3</v>
      </c>
      <c r="F37" s="13">
        <v>0.3</v>
      </c>
    </row>
    <row r="38" spans="1:6" x14ac:dyDescent="0.3">
      <c r="A38" s="3" t="str">
        <f t="shared" si="18"/>
        <v>Fullfilment as a % of rev</v>
      </c>
      <c r="B38" s="13">
        <v>0.08</v>
      </c>
      <c r="C38" s="13">
        <v>0.08</v>
      </c>
      <c r="D38" s="13">
        <v>0.08</v>
      </c>
      <c r="E38" s="13">
        <v>0.08</v>
      </c>
      <c r="F38" s="13">
        <v>0.08</v>
      </c>
    </row>
    <row r="39" spans="1:6" x14ac:dyDescent="0.3">
      <c r="A39" s="3" t="str">
        <f t="shared" si="18"/>
        <v>Transactions fees as a % of rev</v>
      </c>
      <c r="B39" s="13">
        <v>0.03</v>
      </c>
      <c r="C39" s="13">
        <v>0.03</v>
      </c>
      <c r="D39" s="13">
        <v>0.03</v>
      </c>
      <c r="E39" s="13">
        <v>0.03</v>
      </c>
      <c r="F39" s="13">
        <v>0.03</v>
      </c>
    </row>
    <row r="40" spans="1:6" x14ac:dyDescent="0.3">
      <c r="A40" s="3"/>
      <c r="B40" s="3"/>
      <c r="C40" s="3"/>
      <c r="D40" s="3"/>
      <c r="E40" s="3"/>
      <c r="F40" s="3"/>
    </row>
    <row r="41" spans="1:6" x14ac:dyDescent="0.3">
      <c r="A41" s="3" t="s">
        <v>13</v>
      </c>
      <c r="B41" s="3"/>
      <c r="C41" s="3"/>
      <c r="D41" s="3"/>
      <c r="E41" s="3"/>
      <c r="F41" s="3"/>
    </row>
    <row r="42" spans="1:6" x14ac:dyDescent="0.3">
      <c r="A42" s="3" t="str">
        <f>A15&amp;" as a % of rev"</f>
        <v>Labor as a % of rev</v>
      </c>
      <c r="B42" s="13">
        <v>0.2</v>
      </c>
      <c r="C42" s="13">
        <v>0.2</v>
      </c>
      <c r="D42" s="13">
        <v>0.2</v>
      </c>
      <c r="E42" s="13">
        <v>0.2</v>
      </c>
      <c r="F42" s="13">
        <v>0.2</v>
      </c>
    </row>
    <row r="43" spans="1:6" x14ac:dyDescent="0.3">
      <c r="A43" s="3" t="str">
        <f t="shared" ref="A43:A44" si="19">A16&amp;" as a % of rev"</f>
        <v>Marketing as a % of rev</v>
      </c>
      <c r="B43" s="13">
        <v>0.05</v>
      </c>
      <c r="C43" s="13">
        <v>0.05</v>
      </c>
      <c r="D43" s="13">
        <v>0.05</v>
      </c>
      <c r="E43" s="13">
        <v>0.05</v>
      </c>
      <c r="F43" s="13">
        <v>0.05</v>
      </c>
    </row>
    <row r="44" spans="1:6" x14ac:dyDescent="0.3">
      <c r="A44" s="3" t="str">
        <f t="shared" si="19"/>
        <v>SGA &amp; other as a % of rev</v>
      </c>
      <c r="B44" s="13">
        <v>0.05</v>
      </c>
      <c r="C44" s="13">
        <v>0.05</v>
      </c>
      <c r="D44" s="13">
        <v>0.05</v>
      </c>
      <c r="E44" s="13">
        <v>0.05</v>
      </c>
      <c r="F44" s="13">
        <v>0.05</v>
      </c>
    </row>
    <row r="45" spans="1:6" x14ac:dyDescent="0.3">
      <c r="A45" s="3"/>
      <c r="B45" s="3"/>
      <c r="C45" s="3"/>
      <c r="D45" s="3"/>
      <c r="E45" s="3"/>
      <c r="F45" s="3"/>
    </row>
    <row r="46" spans="1:6" x14ac:dyDescent="0.3">
      <c r="A46" s="3" t="s">
        <v>28</v>
      </c>
      <c r="B46" s="13">
        <v>0.25</v>
      </c>
      <c r="C46" s="13">
        <v>0.25</v>
      </c>
      <c r="D46" s="13">
        <v>0.25</v>
      </c>
      <c r="E46" s="13">
        <v>0.25</v>
      </c>
      <c r="F46" s="13">
        <v>0.25</v>
      </c>
    </row>
    <row r="49" spans="1:7" x14ac:dyDescent="0.3">
      <c r="A49" t="s">
        <v>31</v>
      </c>
    </row>
    <row r="50" spans="1:7" x14ac:dyDescent="0.3">
      <c r="A50" s="3" t="s">
        <v>32</v>
      </c>
      <c r="B50" s="3" t="s">
        <v>33</v>
      </c>
      <c r="C50" s="4">
        <v>45658</v>
      </c>
      <c r="D50" s="4">
        <v>46023</v>
      </c>
      <c r="E50" s="4">
        <v>46388</v>
      </c>
      <c r="F50" s="4">
        <f>EDATE(E50,12)</f>
        <v>46753</v>
      </c>
      <c r="G50" s="4">
        <f>EDATE(F50,12)</f>
        <v>47119</v>
      </c>
    </row>
    <row r="51" spans="1:7" x14ac:dyDescent="0.3">
      <c r="A51" s="3"/>
      <c r="B51" s="3"/>
      <c r="C51" s="3"/>
      <c r="D51" s="3"/>
      <c r="E51" s="3"/>
      <c r="F51" s="3"/>
      <c r="G51" s="3"/>
    </row>
    <row r="52" spans="1:7" x14ac:dyDescent="0.3">
      <c r="A52" s="3" t="s">
        <v>34</v>
      </c>
      <c r="B52" s="3"/>
      <c r="C52" s="3"/>
      <c r="D52" s="3"/>
      <c r="E52" s="3"/>
      <c r="F52" s="3"/>
      <c r="G52" s="3"/>
    </row>
    <row r="53" spans="1:7" x14ac:dyDescent="0.3">
      <c r="A53" s="6" t="s">
        <v>35</v>
      </c>
      <c r="B53" s="3">
        <v>3</v>
      </c>
      <c r="C53" s="7">
        <v>3000</v>
      </c>
      <c r="D53" s="3"/>
      <c r="E53" s="3"/>
      <c r="F53" s="7">
        <v>3000</v>
      </c>
      <c r="G53" s="3"/>
    </row>
    <row r="54" spans="1:7" x14ac:dyDescent="0.3">
      <c r="A54" s="6" t="s">
        <v>36</v>
      </c>
      <c r="B54" s="3">
        <v>7</v>
      </c>
      <c r="C54" s="7">
        <v>15000</v>
      </c>
      <c r="D54" s="3"/>
      <c r="E54" s="3"/>
      <c r="F54" s="3"/>
      <c r="G54" s="3"/>
    </row>
    <row r="55" spans="1:7" x14ac:dyDescent="0.3">
      <c r="A55" s="6" t="s">
        <v>37</v>
      </c>
      <c r="B55" s="3">
        <v>7</v>
      </c>
      <c r="C55" s="7">
        <v>25000</v>
      </c>
      <c r="D55" s="3"/>
      <c r="E55" s="3"/>
      <c r="F55" s="3"/>
      <c r="G55" s="3"/>
    </row>
    <row r="56" spans="1:7" x14ac:dyDescent="0.3">
      <c r="A56" s="5" t="s">
        <v>39</v>
      </c>
      <c r="B56" s="3"/>
      <c r="C56" s="7">
        <f>SUM(C53:C55)</f>
        <v>43000</v>
      </c>
      <c r="D56" s="7">
        <f t="shared" ref="D56:G56" si="20">SUM(D53:D55)</f>
        <v>0</v>
      </c>
      <c r="E56" s="7">
        <f t="shared" si="20"/>
        <v>0</v>
      </c>
      <c r="F56" s="7">
        <f t="shared" si="20"/>
        <v>3000</v>
      </c>
      <c r="G56" s="7">
        <f t="shared" si="20"/>
        <v>0</v>
      </c>
    </row>
    <row r="57" spans="1:7" x14ac:dyDescent="0.3">
      <c r="A57" s="3"/>
      <c r="B57" s="3"/>
      <c r="C57" s="3"/>
      <c r="D57" s="3"/>
      <c r="E57" s="3"/>
      <c r="F57" s="3"/>
      <c r="G57" s="3"/>
    </row>
    <row r="58" spans="1:7" x14ac:dyDescent="0.3">
      <c r="A58" s="3" t="s">
        <v>40</v>
      </c>
      <c r="B58" s="3"/>
      <c r="C58" s="3"/>
      <c r="D58" s="3"/>
      <c r="E58" s="3"/>
      <c r="F58" s="3"/>
      <c r="G58" s="3"/>
    </row>
    <row r="59" spans="1:7" x14ac:dyDescent="0.3">
      <c r="A59" s="6" t="s">
        <v>41</v>
      </c>
      <c r="B59" s="3"/>
      <c r="C59" s="7">
        <v>2000</v>
      </c>
      <c r="D59" s="7">
        <v>2000</v>
      </c>
      <c r="E59" s="7">
        <v>2000</v>
      </c>
      <c r="F59" s="7">
        <v>2000</v>
      </c>
      <c r="G59" s="3"/>
    </row>
    <row r="60" spans="1:7" x14ac:dyDescent="0.3">
      <c r="A60" s="6" t="s">
        <v>35</v>
      </c>
      <c r="B60" s="3"/>
      <c r="C60" s="7">
        <f>$C53/$B53</f>
        <v>1000</v>
      </c>
      <c r="D60" s="7">
        <f>$C53/$B53</f>
        <v>1000</v>
      </c>
      <c r="E60" s="7">
        <f t="shared" ref="E60" si="21">$C53/$B53</f>
        <v>1000</v>
      </c>
      <c r="F60" s="14">
        <f>$F53/$B53</f>
        <v>1000</v>
      </c>
      <c r="G60" s="14">
        <f>$F53/$B53</f>
        <v>1000</v>
      </c>
    </row>
    <row r="61" spans="1:7" x14ac:dyDescent="0.3">
      <c r="A61" s="6" t="s">
        <v>36</v>
      </c>
      <c r="B61" s="3"/>
      <c r="C61" s="7">
        <f t="shared" ref="C61:F61" si="22">$C54/$B54</f>
        <v>2142.8571428571427</v>
      </c>
      <c r="D61" s="7">
        <f t="shared" si="22"/>
        <v>2142.8571428571427</v>
      </c>
      <c r="E61" s="7">
        <f t="shared" si="22"/>
        <v>2142.8571428571427</v>
      </c>
      <c r="F61" s="7">
        <f t="shared" si="22"/>
        <v>2142.8571428571427</v>
      </c>
      <c r="G61" s="7">
        <f t="shared" ref="G61" si="23">$C54/$B54</f>
        <v>2142.8571428571427</v>
      </c>
    </row>
    <row r="62" spans="1:7" x14ac:dyDescent="0.3">
      <c r="A62" s="6" t="s">
        <v>37</v>
      </c>
      <c r="B62" s="3"/>
      <c r="C62" s="7">
        <f t="shared" ref="C62:F62" si="24">$C55/$B55</f>
        <v>3571.4285714285716</v>
      </c>
      <c r="D62" s="7">
        <f t="shared" si="24"/>
        <v>3571.4285714285716</v>
      </c>
      <c r="E62" s="7">
        <f t="shared" si="24"/>
        <v>3571.4285714285716</v>
      </c>
      <c r="F62" s="7">
        <f t="shared" si="24"/>
        <v>3571.4285714285716</v>
      </c>
      <c r="G62" s="7">
        <f t="shared" ref="G62" si="25">$C55/$B55</f>
        <v>3571.4285714285716</v>
      </c>
    </row>
    <row r="63" spans="1:7" x14ac:dyDescent="0.3">
      <c r="A63" s="5" t="s">
        <v>38</v>
      </c>
      <c r="B63" s="3"/>
      <c r="C63" s="7">
        <f>SUM(C59:C62)</f>
        <v>8714.2857142857138</v>
      </c>
      <c r="D63" s="7">
        <f t="shared" ref="D63:G63" si="26">SUM(D59:D62)</f>
        <v>8714.2857142857138</v>
      </c>
      <c r="E63" s="7">
        <f t="shared" si="26"/>
        <v>8714.2857142857138</v>
      </c>
      <c r="F63" s="7">
        <f t="shared" si="26"/>
        <v>8714.2857142857138</v>
      </c>
      <c r="G63" s="7">
        <f t="shared" si="26"/>
        <v>6714.2857142857138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4D369-C054-42F6-9F04-7ECB06977DF4}">
  <dimension ref="A1:H43"/>
  <sheetViews>
    <sheetView workbookViewId="0">
      <selection activeCell="N11" sqref="N11"/>
    </sheetView>
  </sheetViews>
  <sheetFormatPr defaultRowHeight="14.4" x14ac:dyDescent="0.3"/>
  <cols>
    <col min="1" max="1" width="28.44140625" bestFit="1" customWidth="1"/>
    <col min="2" max="2" width="10.5546875" bestFit="1" customWidth="1"/>
    <col min="3" max="3" width="13.109375" bestFit="1" customWidth="1"/>
    <col min="4" max="6" width="12" bestFit="1" customWidth="1"/>
    <col min="7" max="7" width="12.88671875" bestFit="1" customWidth="1"/>
  </cols>
  <sheetData>
    <row r="1" spans="1:8" x14ac:dyDescent="0.3">
      <c r="A1" t="s">
        <v>42</v>
      </c>
      <c r="B1" t="s">
        <v>43</v>
      </c>
    </row>
    <row r="2" spans="1:8" x14ac:dyDescent="0.3">
      <c r="A2" s="3" t="s">
        <v>1</v>
      </c>
      <c r="B2" s="10">
        <v>45657</v>
      </c>
      <c r="C2" s="15">
        <v>46022</v>
      </c>
      <c r="D2" s="15">
        <v>46387</v>
      </c>
      <c r="E2" s="15">
        <v>46752</v>
      </c>
      <c r="F2" s="15">
        <v>47118</v>
      </c>
      <c r="G2" s="15">
        <v>47483</v>
      </c>
    </row>
    <row r="3" spans="1:8" x14ac:dyDescent="0.3">
      <c r="A3" s="3"/>
      <c r="B3" s="3"/>
      <c r="C3" s="3"/>
      <c r="D3" s="3"/>
      <c r="E3" s="3"/>
      <c r="F3" s="3"/>
      <c r="G3" s="3"/>
    </row>
    <row r="4" spans="1:8" x14ac:dyDescent="0.3">
      <c r="A4" s="3" t="s">
        <v>44</v>
      </c>
      <c r="B4" s="3"/>
      <c r="C4" s="3"/>
      <c r="D4" s="3"/>
      <c r="E4" s="3"/>
      <c r="F4" s="3"/>
      <c r="G4" s="3"/>
    </row>
    <row r="5" spans="1:8" x14ac:dyDescent="0.3">
      <c r="A5" s="6" t="s">
        <v>45</v>
      </c>
      <c r="B5" s="9">
        <v>437000</v>
      </c>
      <c r="C5" s="9">
        <f>B5+'Cashflow Statement'!B18</f>
        <v>518467.04052969499</v>
      </c>
      <c r="D5" s="9">
        <f>C5+'Cashflow Statement'!C18</f>
        <v>680454.2776886035</v>
      </c>
      <c r="E5" s="9">
        <f>D5+'Cashflow Statement'!D18</f>
        <v>889505.88984751201</v>
      </c>
      <c r="F5" s="9">
        <f>E5+'Cashflow Statement'!E18</f>
        <v>1136390.5989165329</v>
      </c>
      <c r="G5" s="9">
        <f>F5+'Cashflow Statement'!F18</f>
        <v>1449208.4048956661</v>
      </c>
    </row>
    <row r="6" spans="1:8" x14ac:dyDescent="0.3">
      <c r="A6" s="6" t="s">
        <v>46</v>
      </c>
      <c r="B6" s="3">
        <v>150</v>
      </c>
      <c r="C6" s="9">
        <f>C35*C33</f>
        <v>237.5</v>
      </c>
      <c r="D6" s="9">
        <f t="shared" ref="D6:G6" si="0">D35*D33</f>
        <v>308.75</v>
      </c>
      <c r="E6" s="9">
        <f t="shared" si="0"/>
        <v>380</v>
      </c>
      <c r="F6" s="9">
        <f t="shared" si="0"/>
        <v>475</v>
      </c>
      <c r="G6" s="9">
        <f t="shared" si="0"/>
        <v>593.75</v>
      </c>
      <c r="H6" s="2"/>
    </row>
    <row r="7" spans="1:8" x14ac:dyDescent="0.3">
      <c r="A7" s="5" t="s">
        <v>61</v>
      </c>
      <c r="B7" s="3">
        <f>SUM(B5:B6)</f>
        <v>437150</v>
      </c>
      <c r="C7" s="9">
        <f t="shared" ref="C7:G7" si="1">SUM(C5:C6)</f>
        <v>518704.54052969499</v>
      </c>
      <c r="D7" s="9">
        <f t="shared" si="1"/>
        <v>680763.0276886035</v>
      </c>
      <c r="E7" s="9">
        <f>SUM(E5:E6)</f>
        <v>889885.88984751201</v>
      </c>
      <c r="F7" s="9">
        <f t="shared" si="1"/>
        <v>1136865.5989165329</v>
      </c>
      <c r="G7" s="9">
        <f t="shared" si="1"/>
        <v>1449802.1548956661</v>
      </c>
    </row>
    <row r="8" spans="1:8" x14ac:dyDescent="0.3">
      <c r="A8" s="3" t="s">
        <v>47</v>
      </c>
      <c r="B8" s="3"/>
      <c r="C8" s="3"/>
      <c r="D8" s="3"/>
      <c r="E8" s="3"/>
      <c r="F8" s="3"/>
      <c r="G8" s="3"/>
    </row>
    <row r="9" spans="1:8" x14ac:dyDescent="0.3">
      <c r="A9" s="6" t="s">
        <v>31</v>
      </c>
      <c r="B9" s="9">
        <v>10000</v>
      </c>
      <c r="C9" s="9">
        <f>B9+'Income Statement'!C56</f>
        <v>53000</v>
      </c>
      <c r="D9" s="9">
        <f>C9+'Income Statement'!D56</f>
        <v>53000</v>
      </c>
      <c r="E9" s="9">
        <f>D9+'Income Statement'!E56</f>
        <v>53000</v>
      </c>
      <c r="F9" s="9">
        <f>E9+'Income Statement'!F56</f>
        <v>56000</v>
      </c>
      <c r="G9" s="9">
        <f>F9+'Income Statement'!G56</f>
        <v>56000</v>
      </c>
    </row>
    <row r="10" spans="1:8" x14ac:dyDescent="0.3">
      <c r="A10" s="6" t="s">
        <v>48</v>
      </c>
      <c r="B10" s="12">
        <f>-'Income Statement'!C59</f>
        <v>-2000</v>
      </c>
      <c r="C10" s="12">
        <f>B10-'Income Statement'!C63</f>
        <v>-10714.285714285714</v>
      </c>
      <c r="D10" s="12">
        <f>C10-'Income Statement'!D63</f>
        <v>-19428.571428571428</v>
      </c>
      <c r="E10" s="12">
        <f>D10-'Income Statement'!E63</f>
        <v>-28142.857142857141</v>
      </c>
      <c r="F10" s="12">
        <f>E10-'Income Statement'!F63</f>
        <v>-36857.142857142855</v>
      </c>
      <c r="G10" s="12">
        <f>F10-'Income Statement'!G63</f>
        <v>-43571.428571428565</v>
      </c>
    </row>
    <row r="11" spans="1:8" x14ac:dyDescent="0.3">
      <c r="A11" s="3" t="s">
        <v>49</v>
      </c>
      <c r="B11" s="3">
        <f>SUM(B9:B10)</f>
        <v>8000</v>
      </c>
      <c r="C11" s="9">
        <f t="shared" ref="C11:G11" si="2">SUM(C9:C10)</f>
        <v>42285.71428571429</v>
      </c>
      <c r="D11" s="9">
        <f t="shared" si="2"/>
        <v>33571.428571428572</v>
      </c>
      <c r="E11" s="9">
        <f t="shared" si="2"/>
        <v>24857.142857142859</v>
      </c>
      <c r="F11" s="9">
        <f t="shared" si="2"/>
        <v>19142.857142857145</v>
      </c>
      <c r="G11" s="9">
        <f t="shared" si="2"/>
        <v>12428.571428571435</v>
      </c>
    </row>
    <row r="12" spans="1:8" x14ac:dyDescent="0.3">
      <c r="A12" s="5" t="s">
        <v>50</v>
      </c>
      <c r="B12" s="5">
        <f>B11</f>
        <v>8000</v>
      </c>
      <c r="C12" s="11">
        <f t="shared" ref="C12:G12" si="3">C11</f>
        <v>42285.71428571429</v>
      </c>
      <c r="D12" s="11">
        <f t="shared" si="3"/>
        <v>33571.428571428572</v>
      </c>
      <c r="E12" s="11">
        <f>E11</f>
        <v>24857.142857142859</v>
      </c>
      <c r="F12" s="11">
        <f t="shared" si="3"/>
        <v>19142.857142857145</v>
      </c>
      <c r="G12" s="11">
        <f t="shared" si="3"/>
        <v>12428.571428571435</v>
      </c>
    </row>
    <row r="13" spans="1:8" x14ac:dyDescent="0.3">
      <c r="A13" s="5" t="s">
        <v>51</v>
      </c>
      <c r="B13" s="5">
        <f>B7+B12</f>
        <v>445150</v>
      </c>
      <c r="C13" s="11">
        <f t="shared" ref="C13:G13" si="4">C7+C12</f>
        <v>560990.25481540931</v>
      </c>
      <c r="D13" s="11">
        <f>D7+D12</f>
        <v>714334.45626003202</v>
      </c>
      <c r="E13" s="11">
        <f>E7+E12</f>
        <v>914743.03270465485</v>
      </c>
      <c r="F13" s="11">
        <f>F7+F12</f>
        <v>1156008.45605939</v>
      </c>
      <c r="G13" s="11">
        <f t="shared" si="4"/>
        <v>1462230.7263242374</v>
      </c>
    </row>
    <row r="14" spans="1:8" x14ac:dyDescent="0.3">
      <c r="A14" s="3"/>
      <c r="B14" s="3"/>
      <c r="C14" s="3"/>
      <c r="D14" s="3"/>
      <c r="E14" s="3"/>
      <c r="F14" s="3"/>
      <c r="G14" s="3"/>
    </row>
    <row r="15" spans="1:8" x14ac:dyDescent="0.3">
      <c r="A15" s="3" t="s">
        <v>52</v>
      </c>
      <c r="B15" s="3"/>
      <c r="C15" s="3"/>
      <c r="D15" s="3"/>
      <c r="E15" s="3"/>
      <c r="F15" s="3"/>
      <c r="G15" s="3"/>
    </row>
    <row r="16" spans="1:8" x14ac:dyDescent="0.3">
      <c r="A16" s="6" t="s">
        <v>53</v>
      </c>
      <c r="B16" s="3">
        <v>2000</v>
      </c>
      <c r="C16" s="12">
        <f>C36*C34</f>
        <v>3224.7191011235955</v>
      </c>
      <c r="D16" s="12">
        <f t="shared" ref="D16:G16" si="5">D36*D34</f>
        <v>4192.1348314606739</v>
      </c>
      <c r="E16" s="12">
        <f t="shared" si="5"/>
        <v>5159.5505617977524</v>
      </c>
      <c r="F16" s="12">
        <f t="shared" si="5"/>
        <v>6449.4382022471909</v>
      </c>
      <c r="G16" s="12">
        <f t="shared" si="5"/>
        <v>8061.7977528089887</v>
      </c>
    </row>
    <row r="17" spans="1:7" x14ac:dyDescent="0.3">
      <c r="A17" s="6" t="s">
        <v>54</v>
      </c>
      <c r="B17" s="3">
        <v>600</v>
      </c>
      <c r="C17" s="12">
        <f>C37*C33</f>
        <v>950</v>
      </c>
      <c r="D17" s="12">
        <f>D37*D33</f>
        <v>1235</v>
      </c>
      <c r="E17" s="12">
        <f t="shared" ref="E17:G17" si="6">E37*E33</f>
        <v>1520</v>
      </c>
      <c r="F17" s="12">
        <f t="shared" si="6"/>
        <v>1900</v>
      </c>
      <c r="G17" s="12">
        <f t="shared" si="6"/>
        <v>2375</v>
      </c>
    </row>
    <row r="18" spans="1:7" x14ac:dyDescent="0.3">
      <c r="A18" s="5" t="s">
        <v>55</v>
      </c>
      <c r="B18" s="3">
        <f>SUM(B16:B17)</f>
        <v>2600</v>
      </c>
      <c r="C18" s="9">
        <f t="shared" ref="C18:G18" si="7">SUM(C16:C17)</f>
        <v>4174.7191011235955</v>
      </c>
      <c r="D18" s="9">
        <f>SUM(D16:D17)</f>
        <v>5427.1348314606739</v>
      </c>
      <c r="E18" s="9">
        <f t="shared" si="7"/>
        <v>6679.5505617977524</v>
      </c>
      <c r="F18" s="9">
        <f t="shared" si="7"/>
        <v>8349.4382022471909</v>
      </c>
      <c r="G18" s="9">
        <f t="shared" si="7"/>
        <v>10436.797752808989</v>
      </c>
    </row>
    <row r="19" spans="1:7" x14ac:dyDescent="0.3">
      <c r="A19" s="3" t="s">
        <v>56</v>
      </c>
      <c r="B19" s="9">
        <f>SUM(B18)</f>
        <v>2600</v>
      </c>
      <c r="C19" s="9">
        <f t="shared" ref="C19:G19" si="8">SUM(C18)</f>
        <v>4174.7191011235955</v>
      </c>
      <c r="D19" s="9">
        <f t="shared" si="8"/>
        <v>5427.1348314606739</v>
      </c>
      <c r="E19" s="9">
        <f t="shared" si="8"/>
        <v>6679.5505617977524</v>
      </c>
      <c r="F19" s="9">
        <f t="shared" si="8"/>
        <v>8349.4382022471909</v>
      </c>
      <c r="G19" s="9">
        <f t="shared" si="8"/>
        <v>10436.797752808989</v>
      </c>
    </row>
    <row r="20" spans="1:7" x14ac:dyDescent="0.3">
      <c r="A20" s="3" t="s">
        <v>62</v>
      </c>
      <c r="B20" s="3">
        <v>90000</v>
      </c>
      <c r="C20" s="3">
        <f>B20+C40-C41</f>
        <v>89500</v>
      </c>
      <c r="D20" s="3">
        <f>C20+D40-D41</f>
        <v>89000</v>
      </c>
      <c r="E20" s="3">
        <f>D20+E40-E41</f>
        <v>98250</v>
      </c>
      <c r="F20" s="3">
        <f t="shared" ref="F20:G20" si="9">E20+F40-F41</f>
        <v>97500</v>
      </c>
      <c r="G20" s="3">
        <f t="shared" si="9"/>
        <v>96750</v>
      </c>
    </row>
    <row r="21" spans="1:7" x14ac:dyDescent="0.3">
      <c r="A21" s="5" t="s">
        <v>57</v>
      </c>
      <c r="B21" s="3">
        <f>B20</f>
        <v>90000</v>
      </c>
      <c r="C21" s="3">
        <f>C20</f>
        <v>89500</v>
      </c>
      <c r="D21" s="3">
        <f>D20</f>
        <v>89000</v>
      </c>
      <c r="E21" s="3">
        <f>E20</f>
        <v>98250</v>
      </c>
      <c r="F21" s="3">
        <f t="shared" ref="F21:G21" si="10">F20</f>
        <v>97500</v>
      </c>
      <c r="G21" s="3">
        <f t="shared" si="10"/>
        <v>96750</v>
      </c>
    </row>
    <row r="22" spans="1:7" x14ac:dyDescent="0.3">
      <c r="A22" s="5" t="s">
        <v>58</v>
      </c>
      <c r="B22" s="3">
        <f>B21+B18</f>
        <v>92600</v>
      </c>
      <c r="C22" s="9">
        <f>C21+C18</f>
        <v>93674.719101123599</v>
      </c>
      <c r="D22" s="9">
        <f t="shared" ref="D22:G22" si="11">D21+D18</f>
        <v>94427.134831460673</v>
      </c>
      <c r="E22" s="9">
        <f>E21+E18</f>
        <v>104929.55056179775</v>
      </c>
      <c r="F22" s="9">
        <f t="shared" si="11"/>
        <v>105849.4382022472</v>
      </c>
      <c r="G22" s="9">
        <f t="shared" si="11"/>
        <v>107186.79775280898</v>
      </c>
    </row>
    <row r="23" spans="1:7" x14ac:dyDescent="0.3">
      <c r="A23" s="3" t="s">
        <v>59</v>
      </c>
      <c r="B23" s="3"/>
      <c r="C23" s="3"/>
      <c r="D23" s="3"/>
      <c r="E23" s="3"/>
      <c r="F23" s="3"/>
      <c r="G23" s="3"/>
    </row>
    <row r="24" spans="1:7" x14ac:dyDescent="0.3">
      <c r="A24" s="6" t="s">
        <v>60</v>
      </c>
      <c r="B24" s="3">
        <v>100000</v>
      </c>
      <c r="C24" s="3">
        <f>B24</f>
        <v>100000</v>
      </c>
      <c r="D24" s="3">
        <f t="shared" ref="D24:G24" si="12">C24</f>
        <v>100000</v>
      </c>
      <c r="E24" s="3">
        <f t="shared" si="12"/>
        <v>100000</v>
      </c>
      <c r="F24" s="3">
        <f t="shared" si="12"/>
        <v>100000</v>
      </c>
      <c r="G24" s="3">
        <f t="shared" si="12"/>
        <v>100000</v>
      </c>
    </row>
    <row r="25" spans="1:7" x14ac:dyDescent="0.3">
      <c r="A25" s="6" t="s">
        <v>63</v>
      </c>
      <c r="B25" s="3">
        <v>252550</v>
      </c>
      <c r="C25" s="9">
        <f>B25+'Income Statement'!B25</f>
        <v>367315.53571428568</v>
      </c>
      <c r="D25" s="9">
        <f>C25+'Income Statement'!C25</f>
        <v>519907.32142857136</v>
      </c>
      <c r="E25" s="9">
        <f>D25+'Income Statement'!D25</f>
        <v>709813.48214285704</v>
      </c>
      <c r="F25" s="9">
        <f>E25+'Income Statement'!E25</f>
        <v>950159.01785714272</v>
      </c>
      <c r="G25" s="9">
        <f>F25+'Income Statement'!F25</f>
        <v>1255043.9285714284</v>
      </c>
    </row>
    <row r="26" spans="1:7" x14ac:dyDescent="0.3">
      <c r="A26" s="5" t="s">
        <v>64</v>
      </c>
      <c r="B26" s="5">
        <f>SUM(B24:B25)</f>
        <v>352550</v>
      </c>
      <c r="C26" s="11">
        <f t="shared" ref="C26:G26" si="13">SUM(C24:C25)</f>
        <v>467315.53571428568</v>
      </c>
      <c r="D26" s="11">
        <f t="shared" si="13"/>
        <v>619907.32142857136</v>
      </c>
      <c r="E26" s="11">
        <f t="shared" si="13"/>
        <v>809813.48214285704</v>
      </c>
      <c r="F26" s="11">
        <f t="shared" si="13"/>
        <v>1050159.0178571427</v>
      </c>
      <c r="G26" s="11">
        <f t="shared" si="13"/>
        <v>1355043.9285714284</v>
      </c>
    </row>
    <row r="27" spans="1:7" x14ac:dyDescent="0.3">
      <c r="A27" s="5" t="s">
        <v>65</v>
      </c>
      <c r="B27" s="5">
        <f>B26+B22</f>
        <v>445150</v>
      </c>
      <c r="C27" s="11">
        <f t="shared" ref="C27:G27" si="14">C26+C22</f>
        <v>560990.25481540931</v>
      </c>
      <c r="D27" s="11">
        <f t="shared" si="14"/>
        <v>714334.45626003202</v>
      </c>
      <c r="E27" s="11">
        <f>E26+E22</f>
        <v>914743.03270465485</v>
      </c>
      <c r="F27" s="11">
        <f t="shared" si="14"/>
        <v>1156008.45605939</v>
      </c>
      <c r="G27" s="11">
        <f t="shared" si="14"/>
        <v>1462230.7263242374</v>
      </c>
    </row>
    <row r="29" spans="1:7" x14ac:dyDescent="0.3">
      <c r="A29" t="s">
        <v>72</v>
      </c>
      <c r="B29" s="2">
        <f>B27-B13</f>
        <v>0</v>
      </c>
      <c r="C29" s="2">
        <f t="shared" ref="C29:G29" si="15">C27-C13</f>
        <v>0</v>
      </c>
      <c r="D29" s="2">
        <f t="shared" si="15"/>
        <v>0</v>
      </c>
      <c r="E29" s="2">
        <f>E27-E13</f>
        <v>0</v>
      </c>
      <c r="F29" s="2">
        <f t="shared" si="15"/>
        <v>0</v>
      </c>
      <c r="G29" s="2">
        <f t="shared" si="15"/>
        <v>0</v>
      </c>
    </row>
    <row r="32" spans="1:7" x14ac:dyDescent="0.3">
      <c r="A32" s="5" t="s">
        <v>25</v>
      </c>
      <c r="B32" s="3"/>
      <c r="C32" s="3"/>
      <c r="D32" s="3"/>
      <c r="E32" s="3"/>
      <c r="F32" s="3"/>
      <c r="G32" s="3"/>
    </row>
    <row r="33" spans="1:7" x14ac:dyDescent="0.3">
      <c r="A33" s="3" t="s">
        <v>5</v>
      </c>
      <c r="B33" s="16">
        <v>420000</v>
      </c>
      <c r="C33" s="12">
        <f>'Income Statement'!B6</f>
        <v>665000</v>
      </c>
      <c r="D33" s="12">
        <f>'Income Statement'!C6</f>
        <v>864500</v>
      </c>
      <c r="E33" s="12">
        <f>'Income Statement'!D6</f>
        <v>1064000</v>
      </c>
      <c r="F33" s="12">
        <f>'Income Statement'!E6</f>
        <v>1330000</v>
      </c>
      <c r="G33" s="12">
        <f>'Income Statement'!F6</f>
        <v>1662500</v>
      </c>
    </row>
    <row r="34" spans="1:7" x14ac:dyDescent="0.3">
      <c r="A34" s="3" t="s">
        <v>66</v>
      </c>
      <c r="B34" s="16">
        <v>178000</v>
      </c>
      <c r="C34" s="12">
        <f>-'Income Statement'!B11</f>
        <v>287000</v>
      </c>
      <c r="D34" s="12">
        <f>-'Income Statement'!C11</f>
        <v>373100</v>
      </c>
      <c r="E34" s="12">
        <f>-'Income Statement'!D11</f>
        <v>459200</v>
      </c>
      <c r="F34" s="12">
        <f>-'Income Statement'!E11</f>
        <v>574000</v>
      </c>
      <c r="G34" s="12">
        <f>-'Income Statement'!F11</f>
        <v>717500</v>
      </c>
    </row>
    <row r="35" spans="1:7" x14ac:dyDescent="0.3">
      <c r="A35" s="3" t="str">
        <f>A6&amp;" as a % of rev"</f>
        <v>Accounts receivable as a % of rev</v>
      </c>
      <c r="B35" s="8">
        <f>B6/B33</f>
        <v>3.5714285714285714E-4</v>
      </c>
      <c r="C35" s="8">
        <f>B35</f>
        <v>3.5714285714285714E-4</v>
      </c>
      <c r="D35" s="8">
        <f t="shared" ref="D35:G35" si="16">C35</f>
        <v>3.5714285714285714E-4</v>
      </c>
      <c r="E35" s="8">
        <f t="shared" si="16"/>
        <v>3.5714285714285714E-4</v>
      </c>
      <c r="F35" s="8">
        <f t="shared" si="16"/>
        <v>3.5714285714285714E-4</v>
      </c>
      <c r="G35" s="8">
        <f t="shared" si="16"/>
        <v>3.5714285714285714E-4</v>
      </c>
    </row>
    <row r="36" spans="1:7" x14ac:dyDescent="0.3">
      <c r="A36" s="3" t="str">
        <f>A16&amp; " as % of COGS"</f>
        <v>Accounts payable as % of COGS</v>
      </c>
      <c r="B36" s="8">
        <f>B16/B34</f>
        <v>1.1235955056179775E-2</v>
      </c>
      <c r="C36" s="8">
        <f t="shared" ref="C36:G36" si="17">B36</f>
        <v>1.1235955056179775E-2</v>
      </c>
      <c r="D36" s="8">
        <f t="shared" si="17"/>
        <v>1.1235955056179775E-2</v>
      </c>
      <c r="E36" s="8">
        <f t="shared" si="17"/>
        <v>1.1235955056179775E-2</v>
      </c>
      <c r="F36" s="8">
        <f t="shared" si="17"/>
        <v>1.1235955056179775E-2</v>
      </c>
      <c r="G36" s="8">
        <f t="shared" si="17"/>
        <v>1.1235955056179775E-2</v>
      </c>
    </row>
    <row r="37" spans="1:7" x14ac:dyDescent="0.3">
      <c r="A37" s="3" t="str">
        <f>A17&amp; " as % of rev"</f>
        <v>Deferred revenue as % of rev</v>
      </c>
      <c r="B37" s="8">
        <f>B17/B33</f>
        <v>1.4285714285714286E-3</v>
      </c>
      <c r="C37" s="8">
        <f>B37</f>
        <v>1.4285714285714286E-3</v>
      </c>
      <c r="D37" s="8">
        <f t="shared" ref="D37:G37" si="18">C37</f>
        <v>1.4285714285714286E-3</v>
      </c>
      <c r="E37" s="8">
        <f>D37</f>
        <v>1.4285714285714286E-3</v>
      </c>
      <c r="F37" s="8">
        <f t="shared" si="18"/>
        <v>1.4285714285714286E-3</v>
      </c>
      <c r="G37" s="8">
        <f t="shared" si="18"/>
        <v>1.4285714285714286E-3</v>
      </c>
    </row>
    <row r="38" spans="1:7" x14ac:dyDescent="0.3">
      <c r="A38" s="3"/>
      <c r="B38" s="3"/>
      <c r="C38" s="3"/>
      <c r="D38" s="3"/>
      <c r="E38" s="3"/>
      <c r="F38" s="3"/>
      <c r="G38" s="3"/>
    </row>
    <row r="39" spans="1:7" x14ac:dyDescent="0.3">
      <c r="A39" s="3" t="s">
        <v>67</v>
      </c>
      <c r="B39" s="3"/>
      <c r="C39" s="3"/>
      <c r="D39" s="3"/>
      <c r="E39" s="3"/>
      <c r="F39" s="3"/>
      <c r="G39" s="3"/>
    </row>
    <row r="40" spans="1:7" x14ac:dyDescent="0.3">
      <c r="A40" s="3" t="s">
        <v>68</v>
      </c>
      <c r="B40" s="3"/>
      <c r="C40" s="3"/>
      <c r="D40" s="3"/>
      <c r="E40" s="3">
        <v>10000</v>
      </c>
      <c r="F40" s="3"/>
      <c r="G40" s="3"/>
    </row>
    <row r="41" spans="1:7" x14ac:dyDescent="0.3">
      <c r="A41" s="3" t="s">
        <v>71</v>
      </c>
      <c r="B41" s="3"/>
      <c r="C41" s="3">
        <v>500</v>
      </c>
      <c r="D41" s="3">
        <v>500</v>
      </c>
      <c r="E41" s="3">
        <v>750</v>
      </c>
      <c r="F41" s="3">
        <v>750</v>
      </c>
      <c r="G41" s="3">
        <v>750</v>
      </c>
    </row>
    <row r="42" spans="1:7" x14ac:dyDescent="0.3">
      <c r="A42" s="3" t="s">
        <v>69</v>
      </c>
      <c r="B42" s="13"/>
      <c r="C42" s="13">
        <v>7.0000000000000007E-2</v>
      </c>
      <c r="D42" s="13">
        <v>7.0000000000000007E-2</v>
      </c>
      <c r="E42" s="13">
        <v>7.0000000000000007E-2</v>
      </c>
      <c r="F42" s="13">
        <v>7.0000000000000007E-2</v>
      </c>
      <c r="G42" s="13">
        <v>7.0000000000000007E-2</v>
      </c>
    </row>
    <row r="43" spans="1:7" x14ac:dyDescent="0.3">
      <c r="A43" s="3" t="s">
        <v>70</v>
      </c>
      <c r="B43" s="3"/>
      <c r="C43" s="9">
        <f>C42*C20</f>
        <v>6265.0000000000009</v>
      </c>
      <c r="D43" s="9">
        <f>D42*D20</f>
        <v>6230.0000000000009</v>
      </c>
      <c r="E43" s="9">
        <f>E42*E20</f>
        <v>6877.5000000000009</v>
      </c>
      <c r="F43" s="9">
        <f>F42*F20</f>
        <v>6825.0000000000009</v>
      </c>
      <c r="G43" s="9">
        <f>G42*G20</f>
        <v>6772.5000000000009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0E0E-93D1-4458-9A8A-BC0E81349BDB}">
  <dimension ref="A1:F18"/>
  <sheetViews>
    <sheetView tabSelected="1" workbookViewId="0">
      <selection activeCell="F3" sqref="F3"/>
    </sheetView>
  </sheetViews>
  <sheetFormatPr defaultRowHeight="14.4" x14ac:dyDescent="0.3"/>
  <cols>
    <col min="1" max="1" width="17.6640625" bestFit="1" customWidth="1"/>
    <col min="2" max="6" width="10.33203125" bestFit="1" customWidth="1"/>
  </cols>
  <sheetData>
    <row r="1" spans="1:6" x14ac:dyDescent="0.3">
      <c r="A1" t="s">
        <v>73</v>
      </c>
    </row>
    <row r="2" spans="1:6" x14ac:dyDescent="0.3">
      <c r="A2" s="3" t="s">
        <v>1</v>
      </c>
      <c r="B2" s="4">
        <v>45658</v>
      </c>
      <c r="C2" s="4">
        <v>46023</v>
      </c>
      <c r="D2" s="4">
        <v>46388</v>
      </c>
      <c r="E2" s="4">
        <v>46753</v>
      </c>
      <c r="F2" s="4">
        <v>47119</v>
      </c>
    </row>
    <row r="3" spans="1:6" x14ac:dyDescent="0.3">
      <c r="A3" s="3" t="s">
        <v>29</v>
      </c>
      <c r="B3" s="3"/>
      <c r="C3" s="3"/>
      <c r="D3" s="3"/>
      <c r="E3" s="3"/>
      <c r="F3" s="3"/>
    </row>
    <row r="4" spans="1:6" x14ac:dyDescent="0.3">
      <c r="A4" s="3" t="s">
        <v>24</v>
      </c>
      <c r="B4" s="7">
        <f>'Income Statement'!B25</f>
        <v>114765.53571428571</v>
      </c>
      <c r="C4" s="7">
        <f>'Income Statement'!C25</f>
        <v>152591.78571428571</v>
      </c>
      <c r="D4" s="7">
        <f>'Income Statement'!D25</f>
        <v>189906.16071428571</v>
      </c>
      <c r="E4" s="7">
        <f>'Income Statement'!E25</f>
        <v>240345.53571428568</v>
      </c>
      <c r="F4" s="7">
        <f>'Income Statement'!F25</f>
        <v>304884.91071428568</v>
      </c>
    </row>
    <row r="5" spans="1:6" x14ac:dyDescent="0.3">
      <c r="A5" s="3" t="s">
        <v>74</v>
      </c>
      <c r="B5" s="3"/>
      <c r="C5" s="3"/>
      <c r="D5" s="3"/>
      <c r="E5" s="3"/>
      <c r="F5" s="3"/>
    </row>
    <row r="6" spans="1:6" x14ac:dyDescent="0.3">
      <c r="A6" s="6" t="s">
        <v>40</v>
      </c>
      <c r="B6" s="7">
        <f>'Income Statement'!C63</f>
        <v>8714.2857142857138</v>
      </c>
      <c r="C6" s="7">
        <f>'Income Statement'!D63</f>
        <v>8714.2857142857138</v>
      </c>
      <c r="D6" s="7">
        <f>'Income Statement'!E63</f>
        <v>8714.2857142857138</v>
      </c>
      <c r="E6" s="7">
        <f>'Income Statement'!F63</f>
        <v>8714.2857142857138</v>
      </c>
      <c r="F6" s="7">
        <f>'Income Statement'!G63</f>
        <v>6714.2857142857138</v>
      </c>
    </row>
    <row r="7" spans="1:6" x14ac:dyDescent="0.3">
      <c r="A7" s="6" t="s">
        <v>75</v>
      </c>
      <c r="B7" s="9">
        <f>-('Balance Sheet'!C6-'Balance Sheet'!B6)</f>
        <v>-87.5</v>
      </c>
      <c r="C7" s="9">
        <f>-('Balance Sheet'!D6-'Balance Sheet'!C6)</f>
        <v>-71.25</v>
      </c>
      <c r="D7" s="9">
        <f>-('Balance Sheet'!E6-'Balance Sheet'!D6)</f>
        <v>-71.25</v>
      </c>
      <c r="E7" s="9">
        <f>-('Balance Sheet'!F6-'Balance Sheet'!E6)</f>
        <v>-95</v>
      </c>
      <c r="F7" s="9">
        <f>-('Balance Sheet'!G6-'Balance Sheet'!F6)</f>
        <v>-118.75</v>
      </c>
    </row>
    <row r="8" spans="1:6" x14ac:dyDescent="0.3">
      <c r="A8" s="6" t="s">
        <v>76</v>
      </c>
      <c r="B8" s="9">
        <f>'Balance Sheet'!C16-'Balance Sheet'!B16</f>
        <v>1224.7191011235955</v>
      </c>
      <c r="C8" s="9">
        <f>'Balance Sheet'!D16-'Balance Sheet'!C16</f>
        <v>967.41573033707846</v>
      </c>
      <c r="D8" s="9">
        <f>'Balance Sheet'!E16-'Balance Sheet'!D16</f>
        <v>967.41573033707846</v>
      </c>
      <c r="E8" s="9">
        <f>'Balance Sheet'!F16-'Balance Sheet'!E16</f>
        <v>1289.8876404494385</v>
      </c>
      <c r="F8" s="9">
        <f>'Balance Sheet'!G16-'Balance Sheet'!F16</f>
        <v>1612.3595505617977</v>
      </c>
    </row>
    <row r="9" spans="1:6" x14ac:dyDescent="0.3">
      <c r="A9" s="6" t="s">
        <v>77</v>
      </c>
      <c r="B9" s="9">
        <f>'Balance Sheet'!C17-'Balance Sheet'!B17</f>
        <v>350</v>
      </c>
      <c r="C9" s="9">
        <f>'Balance Sheet'!D17-'Balance Sheet'!C17</f>
        <v>285</v>
      </c>
      <c r="D9" s="9">
        <f>'Balance Sheet'!E17-'Balance Sheet'!D17</f>
        <v>285</v>
      </c>
      <c r="E9" s="9">
        <f>'Balance Sheet'!F17-'Balance Sheet'!E17</f>
        <v>380</v>
      </c>
      <c r="F9" s="9">
        <f>'Balance Sheet'!G17-'Balance Sheet'!F17</f>
        <v>475</v>
      </c>
    </row>
    <row r="10" spans="1:6" x14ac:dyDescent="0.3">
      <c r="A10" s="5" t="s">
        <v>78</v>
      </c>
      <c r="B10" s="7">
        <f>SUM(B6:B9)</f>
        <v>10201.504815409309</v>
      </c>
      <c r="C10" s="7">
        <f t="shared" ref="C10:F10" si="0">SUM(C6:C9)</f>
        <v>9895.4514446227913</v>
      </c>
      <c r="D10" s="7">
        <f t="shared" si="0"/>
        <v>9895.4514446227913</v>
      </c>
      <c r="E10" s="7">
        <f t="shared" si="0"/>
        <v>10289.173354735152</v>
      </c>
      <c r="F10" s="7">
        <f t="shared" si="0"/>
        <v>8682.8952648475115</v>
      </c>
    </row>
    <row r="11" spans="1:6" x14ac:dyDescent="0.3">
      <c r="A11" s="3" t="s">
        <v>79</v>
      </c>
      <c r="B11" s="3"/>
      <c r="C11" s="3"/>
      <c r="D11" s="3"/>
      <c r="E11" s="3"/>
      <c r="F11" s="3"/>
    </row>
    <row r="12" spans="1:6" x14ac:dyDescent="0.3">
      <c r="A12" s="6" t="s">
        <v>80</v>
      </c>
      <c r="B12" s="7">
        <f>-'Income Statement'!C56</f>
        <v>-43000</v>
      </c>
      <c r="C12" s="7">
        <f>-'Income Statement'!D56</f>
        <v>0</v>
      </c>
      <c r="D12" s="7">
        <f>-'Income Statement'!E56</f>
        <v>0</v>
      </c>
      <c r="E12" s="7">
        <f>-'Income Statement'!F56</f>
        <v>-3000</v>
      </c>
      <c r="F12" s="7">
        <f>-'Income Statement'!G56</f>
        <v>0</v>
      </c>
    </row>
    <row r="13" spans="1:6" x14ac:dyDescent="0.3">
      <c r="A13" s="5" t="s">
        <v>81</v>
      </c>
      <c r="B13" s="7">
        <f>B12</f>
        <v>-43000</v>
      </c>
      <c r="C13" s="7">
        <f t="shared" ref="C13:F13" si="1">C12</f>
        <v>0</v>
      </c>
      <c r="D13" s="7">
        <f t="shared" si="1"/>
        <v>0</v>
      </c>
      <c r="E13" s="7">
        <f t="shared" si="1"/>
        <v>-3000</v>
      </c>
      <c r="F13" s="7">
        <f t="shared" si="1"/>
        <v>0</v>
      </c>
    </row>
    <row r="14" spans="1:6" x14ac:dyDescent="0.3">
      <c r="A14" s="3" t="s">
        <v>82</v>
      </c>
      <c r="B14" s="3"/>
      <c r="C14" s="3"/>
      <c r="D14" s="3"/>
      <c r="E14" s="3"/>
      <c r="F14" s="3"/>
    </row>
    <row r="15" spans="1:6" x14ac:dyDescent="0.3">
      <c r="A15" s="6" t="s">
        <v>71</v>
      </c>
      <c r="B15" s="3">
        <f>-'Balance Sheet'!C41</f>
        <v>-500</v>
      </c>
      <c r="C15" s="3">
        <f>-'Balance Sheet'!D41</f>
        <v>-500</v>
      </c>
      <c r="D15" s="3">
        <f>-'Balance Sheet'!E41</f>
        <v>-750</v>
      </c>
      <c r="E15" s="3">
        <f>-'Balance Sheet'!F41</f>
        <v>-750</v>
      </c>
      <c r="F15" s="3">
        <f>-'Balance Sheet'!G41</f>
        <v>-750</v>
      </c>
    </row>
    <row r="16" spans="1:6" x14ac:dyDescent="0.3">
      <c r="A16" s="6" t="s">
        <v>83</v>
      </c>
      <c r="B16" s="3">
        <f>'Balance Sheet'!C40</f>
        <v>0</v>
      </c>
      <c r="C16" s="3">
        <f>'Balance Sheet'!D40</f>
        <v>0</v>
      </c>
      <c r="D16" s="3">
        <f>'Balance Sheet'!E40</f>
        <v>10000</v>
      </c>
      <c r="E16" s="3">
        <f>'Balance Sheet'!F40</f>
        <v>0</v>
      </c>
      <c r="F16" s="3">
        <f>'Balance Sheet'!G40</f>
        <v>0</v>
      </c>
    </row>
    <row r="17" spans="1:6" x14ac:dyDescent="0.3">
      <c r="A17" s="5" t="s">
        <v>84</v>
      </c>
      <c r="B17" s="3">
        <f>SUM(B15:B16)</f>
        <v>-500</v>
      </c>
      <c r="C17" s="3">
        <f t="shared" ref="C17:F17" si="2">SUM(C15:C16)</f>
        <v>-500</v>
      </c>
      <c r="D17" s="3">
        <f t="shared" si="2"/>
        <v>9250</v>
      </c>
      <c r="E17" s="3">
        <f t="shared" si="2"/>
        <v>-750</v>
      </c>
      <c r="F17" s="3">
        <f t="shared" si="2"/>
        <v>-750</v>
      </c>
    </row>
    <row r="18" spans="1:6" x14ac:dyDescent="0.3">
      <c r="A18" s="5" t="s">
        <v>85</v>
      </c>
      <c r="B18" s="7">
        <f>B4+B10+B13+B17</f>
        <v>81467.040529695019</v>
      </c>
      <c r="C18" s="7">
        <f t="shared" ref="C18:F18" si="3">C4+C10+C13+C17</f>
        <v>161987.23715890851</v>
      </c>
      <c r="D18" s="7">
        <f t="shared" si="3"/>
        <v>209051.61215890851</v>
      </c>
      <c r="E18" s="7">
        <f t="shared" si="3"/>
        <v>246884.70906902084</v>
      </c>
      <c r="F18" s="7">
        <f t="shared" si="3"/>
        <v>312817.80597913318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Sheet</vt:lpstr>
      <vt:lpstr>Income Statement</vt:lpstr>
      <vt:lpstr>Balance Sheet</vt:lpstr>
      <vt:lpstr>Cashflow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antonyofficial10@gmail.com</dc:creator>
  <cp:lastModifiedBy>antonyofficial10@gmail.com</cp:lastModifiedBy>
  <cp:lastPrinted>2025-11-12T07:09:45Z</cp:lastPrinted>
  <dcterms:created xsi:type="dcterms:W3CDTF">2025-11-12T06:24:51Z</dcterms:created>
  <dcterms:modified xsi:type="dcterms:W3CDTF">2025-11-12T18:31:47Z</dcterms:modified>
</cp:coreProperties>
</file>